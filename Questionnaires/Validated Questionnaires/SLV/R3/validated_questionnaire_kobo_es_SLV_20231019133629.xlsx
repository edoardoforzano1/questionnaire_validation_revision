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SLV/R3/"/>
    </mc:Choice>
  </mc:AlternateContent>
  <xr:revisionPtr revIDLastSave="0" documentId="13_ncr:20001_{F97C56CB-C52A-B349-B1D4-06F68BE2BD2F}" xr6:coauthVersionLast="47" xr6:coauthVersionMax="47" xr10:uidLastSave="{00000000-0000-0000-0000-000000000000}"/>
  <bookViews>
    <workbookView xWindow="0" yWindow="500" windowWidth="33600" windowHeight="19600" tabRatio="645" activeTab="2"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externalReferences>
    <externalReference r:id="rId6"/>
    <externalReference r:id="rId7"/>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59" i="1" l="1"/>
  <c r="Z356" i="1"/>
  <c r="Y356" i="1"/>
  <c r="Z355" i="1"/>
  <c r="Y355" i="1"/>
  <c r="Z354" i="1"/>
  <c r="Y354" i="1"/>
  <c r="Z353" i="1"/>
  <c r="Y353" i="1"/>
  <c r="Z352" i="1"/>
  <c r="Y352" i="1"/>
  <c r="Z351" i="1"/>
  <c r="X351" i="1"/>
  <c r="Y351" i="1" s="1"/>
  <c r="Z350" i="1"/>
  <c r="Y350" i="1"/>
  <c r="X350" i="1"/>
  <c r="Z349" i="1"/>
  <c r="X349" i="1"/>
  <c r="Y349" i="1" s="1"/>
  <c r="Z348" i="1"/>
  <c r="Y348" i="1"/>
  <c r="X348" i="1"/>
  <c r="Z347" i="1"/>
  <c r="Y347" i="1"/>
  <c r="X347" i="1"/>
  <c r="Z346" i="1"/>
  <c r="X346" i="1"/>
  <c r="Y346" i="1" s="1"/>
  <c r="Z345" i="1"/>
  <c r="Y345" i="1"/>
  <c r="X345" i="1"/>
  <c r="Z344" i="1"/>
  <c r="Y344" i="1"/>
  <c r="Z343" i="1"/>
  <c r="Y343" i="1"/>
  <c r="Z342" i="1"/>
  <c r="Y342" i="1"/>
  <c r="Z341" i="1"/>
  <c r="Y341" i="1"/>
  <c r="Z340" i="1"/>
  <c r="Y340" i="1"/>
  <c r="Z339" i="1"/>
  <c r="Y339" i="1"/>
  <c r="Z338" i="1"/>
  <c r="Y338" i="1"/>
  <c r="Z337" i="1"/>
  <c r="Y337" i="1"/>
  <c r="Z334" i="1"/>
  <c r="Y334" i="1"/>
  <c r="Z333" i="1"/>
  <c r="Y333" i="1"/>
  <c r="Z332" i="1"/>
  <c r="Y332" i="1"/>
  <c r="Z331" i="1"/>
  <c r="Y331" i="1"/>
  <c r="Z329" i="1"/>
  <c r="Y329" i="1"/>
  <c r="Z328" i="1"/>
  <c r="Y328" i="1"/>
  <c r="Z327" i="1"/>
  <c r="Y327" i="1"/>
  <c r="Z326" i="1"/>
  <c r="Y326" i="1"/>
  <c r="Z325" i="1"/>
  <c r="Y325" i="1"/>
  <c r="Z324" i="1"/>
  <c r="Y324"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Y275" i="1"/>
  <c r="X275" i="1"/>
  <c r="X274" i="1"/>
  <c r="Y274" i="1" s="1"/>
  <c r="Y273" i="1"/>
  <c r="X273" i="1"/>
  <c r="Z272" i="1"/>
  <c r="X272" i="1"/>
  <c r="Y272" i="1" s="1"/>
  <c r="Y271" i="1"/>
  <c r="X271" i="1"/>
  <c r="X270" i="1"/>
  <c r="Y270" i="1" s="1"/>
  <c r="Y269" i="1"/>
  <c r="X269" i="1"/>
  <c r="Y268" i="1"/>
  <c r="X268" i="1"/>
  <c r="X267" i="1"/>
  <c r="Y267" i="1" s="1"/>
  <c r="Y266" i="1"/>
  <c r="X266" i="1"/>
  <c r="Y265" i="1"/>
  <c r="X265" i="1"/>
  <c r="Z264" i="1"/>
  <c r="Y264" i="1"/>
  <c r="Y263" i="1"/>
  <c r="X263" i="1"/>
  <c r="Y262" i="1"/>
  <c r="X262" i="1"/>
  <c r="Y261" i="1"/>
  <c r="X261" i="1"/>
  <c r="X260" i="1"/>
  <c r="Y260" i="1" s="1"/>
  <c r="Y259" i="1"/>
  <c r="X259" i="1"/>
  <c r="Y258" i="1"/>
  <c r="X258" i="1"/>
  <c r="Y257" i="1"/>
  <c r="X257" i="1"/>
  <c r="Y256" i="1"/>
  <c r="X256" i="1"/>
  <c r="Y255" i="1"/>
  <c r="X255" i="1"/>
  <c r="Z254" i="1"/>
  <c r="Y254" i="1"/>
  <c r="X253" i="1"/>
  <c r="Z253" i="1" s="1"/>
  <c r="Z252" i="1"/>
  <c r="Y252" i="1"/>
  <c r="X252" i="1"/>
  <c r="Z251" i="1"/>
  <c r="Y251" i="1"/>
  <c r="X251" i="1"/>
  <c r="Y250" i="1"/>
  <c r="X250" i="1"/>
  <c r="Z250" i="1" s="1"/>
  <c r="Z249" i="1"/>
  <c r="Y249" i="1"/>
  <c r="X249" i="1"/>
  <c r="Z248" i="1"/>
  <c r="Y248" i="1"/>
  <c r="X248" i="1"/>
  <c r="Z247" i="1"/>
  <c r="Y247" i="1"/>
  <c r="X247" i="1"/>
  <c r="Z246" i="1"/>
  <c r="Y246" i="1"/>
  <c r="X246" i="1"/>
  <c r="Y245" i="1"/>
  <c r="X245" i="1"/>
  <c r="Z245" i="1" s="1"/>
  <c r="Z244" i="1"/>
  <c r="Y244" i="1"/>
  <c r="X244" i="1"/>
  <c r="Z243" i="1"/>
  <c r="Y243" i="1"/>
  <c r="Z242" i="1"/>
  <c r="Y242" i="1"/>
  <c r="Z241" i="1"/>
  <c r="Y241" i="1"/>
  <c r="X241" i="1"/>
  <c r="Z240" i="1"/>
  <c r="Y240" i="1"/>
  <c r="X240" i="1"/>
  <c r="Z239" i="1"/>
  <c r="Y239" i="1"/>
  <c r="X239" i="1"/>
  <c r="Z238" i="1"/>
  <c r="Y238" i="1"/>
  <c r="X238" i="1"/>
  <c r="Z237" i="1"/>
  <c r="Y237" i="1"/>
  <c r="X237" i="1"/>
  <c r="X236" i="1"/>
  <c r="Y236" i="1" s="1"/>
  <c r="Z235" i="1"/>
  <c r="Y235" i="1"/>
  <c r="X235" i="1"/>
  <c r="Z234" i="1"/>
  <c r="Y234" i="1"/>
  <c r="X234" i="1"/>
  <c r="X233" i="1"/>
  <c r="Z233" i="1" s="1"/>
  <c r="Z232" i="1"/>
  <c r="Y232" i="1"/>
  <c r="X232" i="1"/>
  <c r="X231" i="1"/>
  <c r="Z231" i="1" s="1"/>
  <c r="Z230" i="1"/>
  <c r="Y230" i="1"/>
  <c r="X230" i="1"/>
  <c r="X229" i="1"/>
  <c r="Z229" i="1" s="1"/>
  <c r="Z228" i="1"/>
  <c r="Y228" i="1"/>
  <c r="Z227" i="1"/>
  <c r="Y227" i="1"/>
  <c r="Z226" i="1"/>
  <c r="Y226" i="1"/>
  <c r="X226" i="1"/>
  <c r="X225" i="1"/>
  <c r="Z225" i="1" s="1"/>
  <c r="Z224" i="1"/>
  <c r="Y224" i="1"/>
  <c r="X224" i="1"/>
  <c r="Z223" i="1"/>
  <c r="X223" i="1"/>
  <c r="Y223" i="1" s="1"/>
  <c r="X222" i="1"/>
  <c r="Z222" i="1" s="1"/>
  <c r="Z221" i="1"/>
  <c r="Y221" i="1"/>
  <c r="X221" i="1"/>
  <c r="Z220" i="1"/>
  <c r="X220" i="1"/>
  <c r="Y220" i="1" s="1"/>
  <c r="Z219" i="1"/>
  <c r="Y219" i="1"/>
  <c r="X219" i="1"/>
  <c r="Z218" i="1"/>
  <c r="Y218" i="1"/>
  <c r="Z217" i="1"/>
  <c r="Y217" i="1"/>
  <c r="Z216" i="1"/>
  <c r="Y216" i="1"/>
  <c r="X216" i="1"/>
  <c r="Z215" i="1"/>
  <c r="Y215" i="1"/>
  <c r="X215" i="1"/>
  <c r="Z214" i="1"/>
  <c r="Y214" i="1"/>
  <c r="X214" i="1"/>
  <c r="X213" i="1"/>
  <c r="Z213" i="1" s="1"/>
  <c r="Z212" i="1"/>
  <c r="Y212" i="1"/>
  <c r="X212" i="1"/>
  <c r="Z211" i="1"/>
  <c r="Y211" i="1"/>
  <c r="X211" i="1"/>
  <c r="Z210" i="1"/>
  <c r="Y210" i="1"/>
  <c r="X210" i="1"/>
  <c r="Z209" i="1"/>
  <c r="Y209" i="1"/>
  <c r="X209" i="1"/>
  <c r="X208" i="1"/>
  <c r="Y208" i="1" s="1"/>
  <c r="Z207" i="1"/>
  <c r="Y207" i="1"/>
  <c r="X207" i="1"/>
  <c r="Z206" i="1"/>
  <c r="Y206" i="1"/>
  <c r="X206" i="1"/>
  <c r="Y205" i="1"/>
  <c r="X205" i="1"/>
  <c r="Z205" i="1" s="1"/>
  <c r="Z204" i="1"/>
  <c r="Y204" i="1"/>
  <c r="X204" i="1"/>
  <c r="Z203" i="1"/>
  <c r="Y203" i="1"/>
  <c r="X203" i="1"/>
  <c r="Z202" i="1"/>
  <c r="Y202" i="1"/>
  <c r="X202" i="1"/>
  <c r="X201" i="1"/>
  <c r="Z201" i="1" s="1"/>
  <c r="Z200" i="1"/>
  <c r="Y200" i="1"/>
  <c r="X200" i="1"/>
  <c r="Z199" i="1"/>
  <c r="Y199" i="1"/>
  <c r="X199" i="1"/>
  <c r="Z198" i="1"/>
  <c r="Y198" i="1"/>
  <c r="Z197" i="1"/>
  <c r="Y197" i="1"/>
  <c r="Z196" i="1"/>
  <c r="Y196" i="1"/>
  <c r="X196" i="1"/>
  <c r="X195" i="1"/>
  <c r="Z195" i="1" s="1"/>
  <c r="Z194" i="1"/>
  <c r="Y194" i="1"/>
  <c r="X194" i="1"/>
  <c r="Z193" i="1"/>
  <c r="Y193" i="1"/>
  <c r="X193" i="1"/>
  <c r="Z192" i="1"/>
  <c r="X192" i="1"/>
  <c r="Y192" i="1" s="1"/>
  <c r="X191" i="1"/>
  <c r="Y191" i="1" s="1"/>
  <c r="Y190" i="1"/>
  <c r="X190" i="1"/>
  <c r="Y189" i="1"/>
  <c r="X189" i="1"/>
  <c r="X188" i="1"/>
  <c r="Y188" i="1" s="1"/>
  <c r="X187" i="1"/>
  <c r="Y187" i="1" s="1"/>
  <c r="Z186" i="1"/>
  <c r="Y186" i="1"/>
  <c r="Z185" i="1"/>
  <c r="Y185" i="1"/>
  <c r="Y184" i="1"/>
  <c r="X184" i="1"/>
  <c r="X183" i="1"/>
  <c r="Y183" i="1" s="1"/>
  <c r="Y182" i="1"/>
  <c r="X182" i="1"/>
  <c r="Y181" i="1"/>
  <c r="X181" i="1"/>
  <c r="Y180" i="1"/>
  <c r="X180" i="1"/>
  <c r="X179" i="1"/>
  <c r="Y179" i="1" s="1"/>
  <c r="Y178" i="1"/>
  <c r="X178" i="1"/>
  <c r="Y177" i="1"/>
  <c r="X177" i="1"/>
  <c r="X176" i="1"/>
  <c r="Y176" i="1" s="1"/>
  <c r="X175" i="1"/>
  <c r="Y175" i="1" s="1"/>
  <c r="Y174" i="1"/>
  <c r="X174" i="1"/>
  <c r="Y173" i="1"/>
  <c r="X173" i="1"/>
  <c r="X172" i="1"/>
  <c r="Y172" i="1" s="1"/>
  <c r="Y171" i="1"/>
  <c r="X171" i="1"/>
  <c r="Y170" i="1"/>
  <c r="X170" i="1"/>
  <c r="Y169" i="1"/>
  <c r="X169" i="1"/>
  <c r="Z168" i="1"/>
  <c r="Y168" i="1"/>
  <c r="Z167" i="1"/>
  <c r="Y167" i="1"/>
  <c r="Y166" i="1"/>
  <c r="X166" i="1"/>
  <c r="Y165" i="1"/>
  <c r="X165" i="1"/>
  <c r="Y164" i="1"/>
  <c r="X164" i="1"/>
  <c r="X163" i="1"/>
  <c r="Y163" i="1" s="1"/>
  <c r="Y162" i="1"/>
  <c r="X162" i="1"/>
  <c r="Y161" i="1"/>
  <c r="X161" i="1"/>
  <c r="X160" i="1"/>
  <c r="Y160" i="1" s="1"/>
  <c r="X159" i="1"/>
  <c r="Y159" i="1" s="1"/>
  <c r="Y158" i="1"/>
  <c r="X158" i="1"/>
  <c r="Y157" i="1"/>
  <c r="X157" i="1"/>
  <c r="X156" i="1"/>
  <c r="Y156" i="1" s="1"/>
  <c r="X155" i="1"/>
  <c r="Y155" i="1" s="1"/>
  <c r="Y154" i="1"/>
  <c r="X154" i="1"/>
  <c r="Y153" i="1"/>
  <c r="X153" i="1"/>
  <c r="X152" i="1"/>
  <c r="Y152" i="1" s="1"/>
  <c r="Z151" i="1"/>
  <c r="Y151" i="1"/>
  <c r="Z150" i="1"/>
  <c r="Y150" i="1"/>
  <c r="Z149" i="1"/>
  <c r="X149" i="1"/>
  <c r="Y149" i="1" s="1"/>
  <c r="Z148" i="1"/>
  <c r="X148" i="1"/>
  <c r="Y148" i="1" s="1"/>
  <c r="Z147" i="1"/>
  <c r="Y147" i="1"/>
  <c r="X147" i="1"/>
  <c r="Z146" i="1"/>
  <c r="X146" i="1"/>
  <c r="Y146" i="1" s="1"/>
  <c r="X145" i="1"/>
  <c r="Z145" i="1" s="1"/>
  <c r="Z144" i="1"/>
  <c r="Y144" i="1"/>
  <c r="X144" i="1"/>
  <c r="X142" i="1"/>
  <c r="Y142" i="1" s="1"/>
  <c r="Y139" i="1"/>
  <c r="X139" i="1"/>
  <c r="Z139" i="1" s="1"/>
  <c r="Z137" i="1"/>
  <c r="Y137" i="1"/>
  <c r="X137" i="1"/>
  <c r="Z136" i="1"/>
  <c r="X136" i="1"/>
  <c r="Y136" i="1" s="1"/>
  <c r="Z135" i="1"/>
  <c r="Y135" i="1"/>
  <c r="X135" i="1"/>
  <c r="Z134" i="1"/>
  <c r="X134" i="1"/>
  <c r="Y134" i="1" s="1"/>
  <c r="Z133" i="1"/>
  <c r="X133" i="1"/>
  <c r="Y133" i="1" s="1"/>
  <c r="Y132" i="1"/>
  <c r="X132" i="1"/>
  <c r="Z131" i="1"/>
  <c r="Y131" i="1"/>
  <c r="X131" i="1"/>
  <c r="X130" i="1"/>
  <c r="Y130" i="1" s="1"/>
  <c r="Z128" i="1"/>
  <c r="X128" i="1"/>
  <c r="Y128" i="1" s="1"/>
  <c r="Z125" i="1"/>
  <c r="Y125" i="1"/>
  <c r="X125" i="1"/>
  <c r="Z124" i="1"/>
  <c r="Y124" i="1"/>
  <c r="X124" i="1"/>
  <c r="Z123" i="1"/>
  <c r="Y123" i="1"/>
  <c r="X123" i="1"/>
  <c r="Z122" i="1"/>
  <c r="Y122" i="1"/>
  <c r="X122" i="1"/>
  <c r="Z121" i="1"/>
  <c r="Y121" i="1"/>
  <c r="X121" i="1"/>
  <c r="Z120" i="1"/>
  <c r="Y120" i="1"/>
  <c r="X120" i="1"/>
  <c r="X119" i="1"/>
  <c r="Z119" i="1" s="1"/>
  <c r="X118" i="1"/>
  <c r="Z117" i="1"/>
  <c r="X117" i="1"/>
  <c r="Z115" i="1"/>
  <c r="X115" i="1"/>
  <c r="Y115" i="1" s="1"/>
  <c r="X114" i="1"/>
  <c r="Y114" i="1" s="1"/>
  <c r="Z113" i="1"/>
  <c r="Y113" i="1"/>
  <c r="X113" i="1"/>
  <c r="Z112" i="1"/>
  <c r="Y112" i="1"/>
  <c r="X112" i="1"/>
  <c r="Z111" i="1"/>
  <c r="Y111" i="1"/>
  <c r="Z110" i="1"/>
  <c r="Y110" i="1"/>
  <c r="Y109" i="1"/>
  <c r="Y108" i="1"/>
  <c r="Y107" i="1"/>
  <c r="Y106" i="1"/>
  <c r="Y105" i="1"/>
  <c r="Y104" i="1"/>
  <c r="Y103" i="1"/>
  <c r="Y102" i="1"/>
  <c r="Y101" i="1"/>
  <c r="Z100" i="1"/>
  <c r="Y100" i="1"/>
  <c r="X100" i="1"/>
  <c r="Z99" i="1"/>
  <c r="Y99" i="1"/>
  <c r="X99" i="1"/>
  <c r="Z98" i="1"/>
  <c r="Y98" i="1"/>
  <c r="X98" i="1"/>
  <c r="X97" i="1"/>
  <c r="Y97" i="1" s="1"/>
  <c r="Z96" i="1"/>
  <c r="Y96" i="1"/>
  <c r="X96" i="1"/>
  <c r="Z93" i="1"/>
  <c r="Y93" i="1"/>
  <c r="X93" i="1"/>
  <c r="Z92" i="1"/>
  <c r="Y92" i="1"/>
  <c r="X92" i="1"/>
  <c r="Z91" i="1"/>
  <c r="Y91" i="1"/>
  <c r="X91" i="1"/>
  <c r="Z90" i="1"/>
  <c r="Y90" i="1"/>
  <c r="X90" i="1"/>
  <c r="Z89" i="1"/>
  <c r="Y89" i="1"/>
  <c r="X89" i="1"/>
  <c r="X88" i="1"/>
  <c r="Z88" i="1" s="1"/>
  <c r="X87" i="1"/>
  <c r="Z87" i="1" s="1"/>
  <c r="Z86" i="1"/>
  <c r="Y86" i="1"/>
  <c r="X86" i="1"/>
  <c r="Z85" i="1"/>
  <c r="X85" i="1"/>
  <c r="Y85" i="1" s="1"/>
  <c r="Z84" i="1"/>
  <c r="Y84" i="1"/>
  <c r="X84" i="1"/>
  <c r="Z83" i="1"/>
  <c r="Y83" i="1"/>
  <c r="X83" i="1"/>
  <c r="Z82" i="1"/>
  <c r="Y82" i="1"/>
  <c r="X82" i="1"/>
  <c r="Z79" i="1"/>
  <c r="Y79" i="1"/>
  <c r="X79" i="1"/>
  <c r="Z78" i="1"/>
  <c r="Y78" i="1"/>
  <c r="X78" i="1"/>
  <c r="Z77" i="1"/>
  <c r="X77" i="1"/>
  <c r="Y77" i="1" s="1"/>
  <c r="Z76" i="1"/>
  <c r="Y76" i="1"/>
  <c r="X76" i="1"/>
  <c r="X75" i="1"/>
  <c r="Z75" i="1" s="1"/>
  <c r="Y74" i="1"/>
  <c r="X74" i="1"/>
  <c r="Z74" i="1" s="1"/>
  <c r="Z73" i="1"/>
  <c r="Y73" i="1"/>
  <c r="X73" i="1"/>
  <c r="Z72" i="1"/>
  <c r="Y72" i="1"/>
  <c r="X72" i="1"/>
  <c r="Z71" i="1"/>
  <c r="Y71" i="1"/>
  <c r="X71" i="1"/>
  <c r="Z70" i="1"/>
  <c r="Y70" i="1"/>
  <c r="X70" i="1"/>
  <c r="X69" i="1"/>
  <c r="Y69" i="1" s="1"/>
  <c r="Z68" i="1"/>
  <c r="Y68" i="1"/>
  <c r="X68" i="1"/>
  <c r="Z64" i="1"/>
  <c r="X64" i="1"/>
  <c r="Y64" i="1" s="1"/>
  <c r="Z63" i="1"/>
  <c r="X63" i="1"/>
  <c r="Y63" i="1" s="1"/>
  <c r="Z62" i="1"/>
  <c r="Y62" i="1"/>
  <c r="X62" i="1"/>
  <c r="Z61" i="1"/>
  <c r="Y61" i="1"/>
  <c r="X61" i="1"/>
  <c r="Z60" i="1"/>
  <c r="Y60" i="1"/>
  <c r="X60" i="1"/>
  <c r="Z59" i="1"/>
  <c r="Y59" i="1"/>
  <c r="X59" i="1"/>
  <c r="Z58" i="1"/>
  <c r="Y58" i="1"/>
  <c r="X58" i="1"/>
  <c r="X57" i="1"/>
  <c r="Z57" i="1" s="1"/>
  <c r="Z56" i="1"/>
  <c r="Y56" i="1"/>
  <c r="X56" i="1"/>
  <c r="Z55" i="1"/>
  <c r="Y55" i="1"/>
  <c r="X55" i="1"/>
  <c r="Z54" i="1"/>
  <c r="Y54" i="1"/>
  <c r="X54" i="1"/>
  <c r="Z53" i="1"/>
  <c r="Y53" i="1"/>
  <c r="X53" i="1"/>
  <c r="Z52" i="1"/>
  <c r="Y52" i="1"/>
  <c r="X52" i="1"/>
  <c r="Z51" i="1"/>
  <c r="X51" i="1"/>
  <c r="Y51" i="1" s="1"/>
  <c r="Z50" i="1"/>
  <c r="X50" i="1"/>
  <c r="Y50" i="1" s="1"/>
  <c r="Z49" i="1"/>
  <c r="Y49" i="1"/>
  <c r="X49" i="1"/>
  <c r="Z48" i="1"/>
  <c r="X48" i="1"/>
  <c r="Y48" i="1" s="1"/>
  <c r="Z47" i="1"/>
  <c r="X47" i="1"/>
  <c r="Y47" i="1" s="1"/>
  <c r="Z46" i="1"/>
  <c r="Y46" i="1"/>
  <c r="X46" i="1"/>
  <c r="Z45" i="1"/>
  <c r="Y45" i="1"/>
  <c r="X45" i="1"/>
  <c r="Z44" i="1"/>
  <c r="Y44" i="1"/>
  <c r="X44" i="1"/>
  <c r="Z43" i="1"/>
  <c r="Y43" i="1"/>
  <c r="X43" i="1"/>
  <c r="Z42" i="1"/>
  <c r="Y42" i="1"/>
  <c r="X42" i="1"/>
  <c r="X41" i="1"/>
  <c r="Z41" i="1" s="1"/>
  <c r="Z40" i="1"/>
  <c r="Y40" i="1"/>
  <c r="X40" i="1"/>
  <c r="Y39" i="1"/>
  <c r="X39" i="1"/>
  <c r="Z39" i="1" s="1"/>
  <c r="Z37" i="1"/>
  <c r="Y37" i="1"/>
  <c r="X37" i="1"/>
  <c r="Z36" i="1"/>
  <c r="Y36" i="1"/>
  <c r="Z35" i="1"/>
  <c r="Y35" i="1"/>
  <c r="Z34" i="1"/>
  <c r="Y34" i="1"/>
  <c r="X34" i="1"/>
  <c r="X33" i="1"/>
  <c r="Y33" i="1" s="1"/>
  <c r="X32" i="1"/>
  <c r="Z32" i="1" s="1"/>
  <c r="Z31" i="1"/>
  <c r="X31" i="1"/>
  <c r="Z30" i="1"/>
  <c r="Y30" i="1"/>
  <c r="X30" i="1"/>
  <c r="X29" i="1"/>
  <c r="Z29" i="1" s="1"/>
  <c r="Z28" i="1"/>
  <c r="Y28" i="1"/>
  <c r="X28" i="1"/>
  <c r="X27" i="1"/>
  <c r="Y27" i="1" s="1"/>
  <c r="Z26" i="1"/>
  <c r="Y26" i="1"/>
  <c r="X26" i="1"/>
  <c r="Z25" i="1"/>
  <c r="Y25" i="1"/>
  <c r="X25" i="1"/>
  <c r="Z24" i="1"/>
  <c r="X24" i="1"/>
  <c r="Y24" i="1" s="1"/>
  <c r="Z23" i="1"/>
  <c r="Y23" i="1"/>
  <c r="X23" i="1"/>
  <c r="X22" i="1"/>
  <c r="Z22" i="1" s="1"/>
  <c r="Z21" i="1"/>
  <c r="Y21" i="1"/>
  <c r="X21" i="1"/>
  <c r="Z20" i="1"/>
  <c r="Y20" i="1"/>
  <c r="X20" i="1"/>
  <c r="Z19" i="1"/>
  <c r="X19" i="1"/>
  <c r="Y19" i="1" s="1"/>
  <c r="Z18" i="1"/>
  <c r="Y18" i="1"/>
  <c r="Z17" i="1"/>
  <c r="Y17" i="1"/>
  <c r="Z16" i="1"/>
  <c r="Y16" i="1"/>
  <c r="Z15" i="1"/>
  <c r="Y15" i="1"/>
  <c r="Y14" i="1"/>
  <c r="X14" i="1"/>
  <c r="Z14" i="1" s="1"/>
  <c r="Z13" i="1"/>
  <c r="Y13" i="1"/>
  <c r="Z11" i="1"/>
  <c r="Y11" i="1"/>
  <c r="Z10" i="1"/>
  <c r="Y10" i="1"/>
  <c r="Z5" i="1"/>
  <c r="Y5" i="1"/>
  <c r="Z4" i="1"/>
  <c r="Y4" i="1"/>
  <c r="Z3" i="1"/>
  <c r="Y3" i="1"/>
  <c r="Z2" i="1"/>
  <c r="Y2" i="1"/>
  <c r="Z69" i="1" l="1"/>
  <c r="Y75" i="1"/>
  <c r="Y233" i="1"/>
  <c r="Y32" i="1"/>
  <c r="Y87" i="1"/>
  <c r="Y119" i="1"/>
  <c r="Y222" i="1"/>
  <c r="Y22" i="1"/>
  <c r="Y366" i="1" s="1"/>
  <c r="Z27" i="1"/>
  <c r="Z366" i="1" s="1"/>
  <c r="Y88" i="1"/>
  <c r="Y195" i="1"/>
  <c r="Y201" i="1"/>
  <c r="Y229" i="1"/>
  <c r="Y41" i="1"/>
  <c r="Y57" i="1"/>
  <c r="Y145" i="1"/>
  <c r="Y213" i="1"/>
  <c r="Y29" i="1"/>
  <c r="Z114" i="1"/>
  <c r="Y253" i="1"/>
  <c r="Z97" i="1"/>
  <c r="Z130" i="1"/>
  <c r="Z208" i="1"/>
  <c r="Y225" i="1"/>
  <c r="Y231" i="1"/>
  <c r="Z2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Callejas</author>
    <author>Mathias Medina</author>
  </authors>
  <commentList>
    <comment ref="D104" authorId="0" shapeId="0" xr:uid="{00000000-0006-0000-0000-000001000000}">
      <text>
        <r>
          <rPr>
            <sz val="11"/>
            <color theme="1"/>
            <rFont val="Calibri"/>
            <family val="2"/>
            <scheme val="minor"/>
          </rPr>
          <t>Mayra Callejas:
si o_migration = 1,2</t>
        </r>
      </text>
    </comment>
    <comment ref="D105" authorId="0" shapeId="0" xr:uid="{00000000-0006-0000-0000-000002000000}">
      <text>
        <r>
          <rPr>
            <sz val="11"/>
            <color theme="1"/>
            <rFont val="Calibri"/>
            <family val="2"/>
            <scheme val="minor"/>
          </rPr>
          <t>Mayra Callejas:
si o_migrationgender = otro</t>
        </r>
      </text>
    </comment>
    <comment ref="D108" authorId="0" shapeId="0" xr:uid="{00000000-0006-0000-0000-000003000000}">
      <text>
        <r>
          <rPr>
            <sz val="11"/>
            <color theme="1"/>
            <rFont val="Calibri"/>
            <family val="2"/>
            <scheme val="minor"/>
          </rPr>
          <t>Mayra Callejas:
Se activa si o_remittances = SI</t>
        </r>
      </text>
    </comment>
    <comment ref="D109" authorId="0" shapeId="0" xr:uid="{00000000-0006-0000-0000-000004000000}">
      <text>
        <r>
          <rPr>
            <sz val="11"/>
            <color theme="1"/>
            <rFont val="Calibri"/>
            <family val="2"/>
            <scheme val="minor"/>
          </rPr>
          <t>Mayra Callejas:
Se activa si o_remittances = SI</t>
        </r>
      </text>
    </comment>
    <comment ref="D114" authorId="0" shapeId="0" xr:uid="{00000000-0006-0000-0000-000005000000}">
      <text>
        <r>
          <rPr>
            <sz val="11"/>
            <color theme="1"/>
            <rFont val="Calibri"/>
            <family val="2"/>
            <scheme val="minor"/>
          </rPr>
          <t>Mayra Callejas:
¿Cuál es el área total del terreno que cultivó?
Matías: 
No se puede modificar, pero agregué una pregunta después específica sobre la superficie cultivada vs. la superficie que se puede cultivar. Hay que aclarar esto con los encuestadores</t>
        </r>
      </text>
    </comment>
    <comment ref="C131" authorId="0" shapeId="0" xr:uid="{00000000-0006-0000-0000-000006000000}">
      <text>
        <r>
          <rPr>
            <sz val="11"/>
            <color theme="1"/>
            <rFont val="Calibri"/>
            <family val="2"/>
            <scheme val="minor"/>
          </rPr>
          <t>Mayra Callejas:
Se activará si crp_area_change se responde con código 4: un poco menor o 5: mucho menor</t>
        </r>
      </text>
    </comment>
    <comment ref="D131" authorId="0" shapeId="0" xr:uid="{00000000-0006-0000-0000-000007000000}">
      <text>
        <r>
          <rPr>
            <sz val="11"/>
            <color theme="1"/>
            <rFont val="Calibri"/>
            <family val="2"/>
            <scheme val="minor"/>
          </rPr>
          <t>Mayra Callejas:
Se activará si crp_area_change se responde con código 4: un poco menor o 5: mucho menor</t>
        </r>
      </text>
    </comment>
    <comment ref="D132" authorId="0" shapeId="0" xr:uid="{00000000-0006-0000-0000-000008000000}">
      <text>
        <r>
          <rPr>
            <sz val="11"/>
            <color theme="1"/>
            <rFont val="Calibri"/>
            <family val="2"/>
            <scheme val="minor"/>
          </rPr>
          <t xml:space="preserve">Mayra Callejas:
si o_crp_area_changewhy = otro
</t>
        </r>
      </text>
    </comment>
    <comment ref="D143" authorId="0" shapeId="0" xr:uid="{00000000-0006-0000-0000-000009000000}">
      <text>
        <r>
          <rPr>
            <sz val="11"/>
            <color theme="1"/>
            <rFont val="Calibri"/>
            <family val="2"/>
            <scheme val="minor"/>
          </rPr>
          <t>Mayra Callejas:
si o_harvdestination = otro</t>
        </r>
      </text>
    </comment>
    <comment ref="D151" authorId="0" shapeId="0" xr:uid="{00000000-0006-0000-0000-00000A000000}">
      <text>
        <r>
          <rPr>
            <sz val="11"/>
            <color theme="1"/>
            <rFont val="Calibri"/>
            <family val="2"/>
            <scheme val="minor"/>
          </rPr>
          <t>Mayra Callejas:
Esta subsección se habilitará si crpmain = maíz</t>
        </r>
      </text>
    </comment>
    <comment ref="D154" authorId="0" shapeId="0" xr:uid="{00000000-0006-0000-0000-00000B000000}">
      <text>
        <r>
          <rPr>
            <sz val="11"/>
            <color theme="1"/>
            <rFont val="Calibri"/>
            <family val="2"/>
            <scheme val="minor"/>
          </rPr>
          <t>Mayra Callejas:
si o_crp_plantmaiz = otro</t>
        </r>
      </text>
    </comment>
    <comment ref="D156" authorId="0" shapeId="0" xr:uid="{00000000-0006-0000-0000-00000C000000}">
      <text>
        <r>
          <rPr>
            <sz val="11"/>
            <color theme="1"/>
            <rFont val="Calibri"/>
            <family val="2"/>
            <scheme val="minor"/>
          </rPr>
          <t>Mayra Callejas:
Activar si o_crp_plantmaiz_change = sí</t>
        </r>
      </text>
    </comment>
    <comment ref="D158" authorId="0" shapeId="0" xr:uid="{00000000-0006-0000-0000-00000D000000}">
      <text>
        <r>
          <rPr>
            <sz val="11"/>
            <color theme="1"/>
            <rFont val="Calibri"/>
            <family val="2"/>
            <scheme val="minor"/>
          </rPr>
          <t>Mayra Callejas:
Se activa si o_crp_maizlost = 2,3,4,5,6 o 7</t>
        </r>
      </text>
    </comment>
    <comment ref="D159" authorId="0" shapeId="0" xr:uid="{00000000-0006-0000-0000-00000E000000}">
      <text>
        <r>
          <rPr>
            <sz val="11"/>
            <color theme="1"/>
            <rFont val="Calibri"/>
            <family val="2"/>
            <scheme val="minor"/>
          </rPr>
          <t>Mayra Callejas:
Se activa si o_crp_maizlost = 6 o 7</t>
        </r>
      </text>
    </comment>
    <comment ref="D160" authorId="0" shapeId="0" xr:uid="{00000000-0006-0000-0000-00000F000000}">
      <text>
        <r>
          <rPr>
            <sz val="11"/>
            <color theme="1"/>
            <rFont val="Calibri"/>
            <family val="2"/>
            <scheme val="minor"/>
          </rPr>
          <t>Mayra Callejas:
Se activa si o_crp_plantmaizagain = sí</t>
        </r>
      </text>
    </comment>
    <comment ref="D162" authorId="0" shapeId="0" xr:uid="{00000000-0006-0000-0000-000010000000}">
      <text>
        <r>
          <rPr>
            <sz val="11"/>
            <color theme="1"/>
            <rFont val="Calibri"/>
            <family val="2"/>
            <scheme val="minor"/>
          </rPr>
          <t>Mayra Callejas:
si o_crp_harvmaiz = otro</t>
        </r>
      </text>
    </comment>
    <comment ref="D163" authorId="0" shapeId="0" xr:uid="{00000000-0006-0000-0000-000011000000}">
      <text>
        <r>
          <rPr>
            <sz val="11"/>
            <color theme="1"/>
            <rFont val="Calibri"/>
            <family val="2"/>
            <scheme val="minor"/>
          </rPr>
          <t>Mayra Callejas:
Se activa si o_crp_plantxyear_maiz = 2</t>
        </r>
      </text>
    </comment>
    <comment ref="D164" authorId="0" shapeId="0" xr:uid="{00000000-0006-0000-0000-000012000000}">
      <text>
        <r>
          <rPr>
            <sz val="11"/>
            <color theme="1"/>
            <rFont val="Calibri"/>
            <family val="2"/>
            <scheme val="minor"/>
          </rPr>
          <t>Mayra Callejas:
se actva si o_crp_plant2_maizdate = otro</t>
        </r>
      </text>
    </comment>
    <comment ref="D165" authorId="0" shapeId="0" xr:uid="{00000000-0006-0000-0000-000013000000}">
      <text>
        <r>
          <rPr>
            <sz val="11"/>
            <color theme="1"/>
            <rFont val="Calibri"/>
            <family val="2"/>
            <scheme val="minor"/>
          </rPr>
          <t>Mayra Callejas:
Se activa si o_crp_plantxyear_maiz = 3</t>
        </r>
      </text>
    </comment>
    <comment ref="D166" authorId="0" shapeId="0" xr:uid="{00000000-0006-0000-0000-000014000000}">
      <text>
        <r>
          <rPr>
            <sz val="11"/>
            <color theme="1"/>
            <rFont val="Calibri"/>
            <family val="2"/>
            <scheme val="minor"/>
          </rPr>
          <t>Mayra Callejas:
si o_crp_plant3_maizdate = otro</t>
        </r>
      </text>
    </comment>
    <comment ref="D168" authorId="0" shapeId="0" xr:uid="{00000000-0006-0000-0000-000015000000}">
      <text>
        <r>
          <rPr>
            <sz val="11"/>
            <color theme="1"/>
            <rFont val="Calibri"/>
            <family val="2"/>
            <scheme val="minor"/>
          </rPr>
          <t>Mayra Callejas:
Esta subsección se habilitará si crpmain = frijol</t>
        </r>
      </text>
    </comment>
    <comment ref="D171" authorId="0" shapeId="0" xr:uid="{00000000-0006-0000-0000-000016000000}">
      <text>
        <r>
          <rPr>
            <sz val="11"/>
            <color theme="1"/>
            <rFont val="Calibri"/>
            <family val="2"/>
            <scheme val="minor"/>
          </rPr>
          <t>Mayra Callejas:
si o_crp_plantbeen = otro</t>
        </r>
      </text>
    </comment>
    <comment ref="D173" authorId="0" shapeId="0" xr:uid="{00000000-0006-0000-0000-000017000000}">
      <text>
        <r>
          <rPr>
            <sz val="11"/>
            <color theme="1"/>
            <rFont val="Calibri"/>
            <family val="2"/>
            <scheme val="minor"/>
          </rPr>
          <t>Mayra Callejas:
Activar si o_crp_plantbeen_change = sí</t>
        </r>
      </text>
    </comment>
    <comment ref="D176" authorId="0" shapeId="0" xr:uid="{00000000-0006-0000-0000-000018000000}">
      <text>
        <r>
          <rPr>
            <sz val="11"/>
            <color theme="1"/>
            <rFont val="Calibri"/>
            <family val="2"/>
            <scheme val="minor"/>
          </rPr>
          <t>Mayra Callejas:
Se activa si o_crp_beenlost = 2,3,4,5,6 o 7</t>
        </r>
      </text>
    </comment>
    <comment ref="D177" authorId="0" shapeId="0" xr:uid="{00000000-0006-0000-0000-000019000000}">
      <text>
        <r>
          <rPr>
            <sz val="11"/>
            <color theme="1"/>
            <rFont val="Calibri"/>
            <family val="2"/>
            <scheme val="minor"/>
          </rPr>
          <t>Mayra Callejas:
Se activa si o_crp_beenlost = 6 o 7</t>
        </r>
      </text>
    </comment>
    <comment ref="D178" authorId="0" shapeId="0" xr:uid="{00000000-0006-0000-0000-00001A000000}">
      <text>
        <r>
          <rPr>
            <sz val="11"/>
            <color theme="1"/>
            <rFont val="Calibri"/>
            <family val="2"/>
            <scheme val="minor"/>
          </rPr>
          <t>Mayra Callejas:
se activa si o_crp_plantbeenagain = sí</t>
        </r>
      </text>
    </comment>
    <comment ref="D180" authorId="0" shapeId="0" xr:uid="{00000000-0006-0000-0000-00001B000000}">
      <text>
        <r>
          <rPr>
            <sz val="11"/>
            <color theme="1"/>
            <rFont val="Calibri"/>
            <family val="2"/>
            <scheme val="minor"/>
          </rPr>
          <t>Mayra Callejas:
si o_crp_harvbeen = otro</t>
        </r>
      </text>
    </comment>
    <comment ref="D181" authorId="0" shapeId="0" xr:uid="{00000000-0006-0000-0000-00001C000000}">
      <text>
        <r>
          <rPr>
            <sz val="11"/>
            <color theme="1"/>
            <rFont val="Calibri"/>
            <family val="2"/>
            <scheme val="minor"/>
          </rPr>
          <t>Mayra Callejas:
Se activa si o_crp_plantxyear_been = 2</t>
        </r>
      </text>
    </comment>
    <comment ref="D182" authorId="0" shapeId="0" xr:uid="{00000000-0006-0000-0000-00001D000000}">
      <text>
        <r>
          <rPr>
            <sz val="11"/>
            <color theme="1"/>
            <rFont val="Calibri"/>
            <family val="2"/>
            <scheme val="minor"/>
          </rPr>
          <t>Mayra Callejas:
si o_crp_plant2_beendate = otro</t>
        </r>
      </text>
    </comment>
    <comment ref="D183" authorId="0" shapeId="0" xr:uid="{00000000-0006-0000-0000-00001E000000}">
      <text>
        <r>
          <rPr>
            <sz val="11"/>
            <color theme="1"/>
            <rFont val="Calibri"/>
            <family val="2"/>
            <scheme val="minor"/>
          </rPr>
          <t>Mayra Callejas:
Se activa si o_crp_plantxyear_been = 3</t>
        </r>
      </text>
    </comment>
    <comment ref="D184" authorId="0" shapeId="0" xr:uid="{00000000-0006-0000-0000-00001F000000}">
      <text>
        <r>
          <rPr>
            <sz val="11"/>
            <color theme="1"/>
            <rFont val="Calibri"/>
            <family val="2"/>
            <scheme val="minor"/>
          </rPr>
          <t>Mayra Callejas:
si o_crp_plant3_beendate = otro</t>
        </r>
      </text>
    </comment>
    <comment ref="D191" authorId="0" shapeId="0" xr:uid="{00000000-0006-0000-0000-000020000000}">
      <text>
        <r>
          <rPr>
            <sz val="11"/>
            <color theme="1"/>
            <rFont val="Calibri"/>
            <family val="2"/>
            <scheme val="minor"/>
          </rPr>
          <t>Mayra Callejas:
Pregunta dirigida a hogares que venden su producción propia</t>
        </r>
      </text>
    </comment>
    <comment ref="A220" authorId="1" shapeId="0" xr:uid="{00000000-0006-0000-0000-000021000000}">
      <text>
        <r>
          <rPr>
            <sz val="11"/>
            <color theme="1"/>
            <rFont val="Calibri"/>
            <family val="2"/>
            <scheme val="minor"/>
          </rPr>
          <t>Mathias Medina:
No se pueden cambiar las respuestas posibles de esta pregunta</t>
        </r>
      </text>
    </comment>
    <comment ref="D220" authorId="0" shapeId="0" xr:uid="{00000000-0006-0000-0000-000022000000}">
      <text>
        <r>
          <rPr>
            <sz val="11"/>
            <color theme="1"/>
            <rFont val="Calibri"/>
            <family val="2"/>
            <scheme val="minor"/>
          </rPr>
          <t>Mayra Callejas:
¿Cuál ha sido la principal especie animal o producto de origen animal que ha vendido su hogar en los últimos 3 meses?</t>
        </r>
      </text>
    </comment>
    <comment ref="D233" authorId="0" shapeId="0" xr:uid="{00000000-0006-0000-0000-000023000000}">
      <text>
        <r>
          <rPr>
            <sz val="11"/>
            <color theme="1"/>
            <rFont val="Calibri"/>
            <family val="2"/>
            <scheme val="minor"/>
          </rPr>
          <t>Mayra Callejas:
¿… captura/cosecha…?</t>
        </r>
      </text>
    </comment>
    <comment ref="D255" authorId="0" shapeId="0" xr:uid="{00000000-0006-0000-0000-000024000000}">
      <text>
        <r>
          <rPr>
            <sz val="11"/>
            <color theme="1"/>
            <rFont val="Calibri"/>
            <family val="2"/>
            <scheme val="minor"/>
          </rPr>
          <t>Mayra Callejas:
Esta subsección se habilitará para todos los hogares con actividad agrícola, pecuaria y/o pesquera/acuícola</t>
        </r>
      </text>
    </comment>
    <comment ref="D257" authorId="0" shapeId="0" xr:uid="{00000000-0006-0000-0000-000025000000}">
      <text>
        <r>
          <rPr>
            <sz val="11"/>
            <color theme="1"/>
            <rFont val="Calibri"/>
            <family val="2"/>
            <scheme val="minor"/>
          </rPr>
          <t>Mayra Callejas:
si o_credit =1 ,2</t>
        </r>
      </text>
    </comment>
    <comment ref="D258" authorId="0" shapeId="0" xr:uid="{00000000-0006-0000-0000-000026000000}">
      <text>
        <r>
          <rPr>
            <sz val="11"/>
            <color theme="1"/>
            <rFont val="Calibri"/>
            <family val="2"/>
            <scheme val="minor"/>
          </rPr>
          <t>Mayra Callejas:
si o_credit = 2</t>
        </r>
      </text>
    </comment>
    <comment ref="D259" authorId="0" shapeId="0" xr:uid="{00000000-0006-0000-0000-000027000000}">
      <text>
        <r>
          <rPr>
            <sz val="11"/>
            <color theme="1"/>
            <rFont val="Calibri"/>
            <family val="2"/>
            <scheme val="minor"/>
          </rPr>
          <t>Mayra Callejas:
si o_credit = 1</t>
        </r>
      </text>
    </comment>
    <comment ref="C260" authorId="0" shapeId="0" xr:uid="{00000000-0006-0000-0000-000028000000}">
      <text>
        <r>
          <rPr>
            <sz val="11"/>
            <color theme="1"/>
            <rFont val="Calibri"/>
            <family val="2"/>
            <scheme val="minor"/>
          </rPr>
          <t>Mayra Callejas:
si o_credit =1 ,2</t>
        </r>
      </text>
    </comment>
    <comment ref="D260" authorId="0" shapeId="0" xr:uid="{00000000-0006-0000-0000-000029000000}">
      <text>
        <r>
          <rPr>
            <sz val="11"/>
            <color theme="1"/>
            <rFont val="Calibri"/>
            <family val="2"/>
            <scheme val="minor"/>
          </rPr>
          <t>Mayra Callejas:
si o_credit =1 ,2</t>
        </r>
      </text>
    </comment>
    <comment ref="D261" authorId="0" shapeId="0" xr:uid="{00000000-0006-0000-0000-00002A000000}">
      <text>
        <r>
          <rPr>
            <sz val="11"/>
            <color theme="1"/>
            <rFont val="Calibri"/>
            <family val="2"/>
            <scheme val="minor"/>
          </rPr>
          <t>Mayra Callejas:
o_creditdestination = otro</t>
        </r>
      </text>
    </comment>
    <comment ref="D262" authorId="0" shapeId="0" xr:uid="{00000000-0006-0000-0000-00002B000000}">
      <text>
        <r>
          <rPr>
            <sz val="11"/>
            <color theme="1"/>
            <rFont val="Calibri"/>
            <family val="2"/>
            <scheme val="minor"/>
          </rPr>
          <t>Mayra Callejas:
si o_credit =1 ,2</t>
        </r>
      </text>
    </comment>
    <comment ref="D263" authorId="0" shapeId="0" xr:uid="{00000000-0006-0000-0000-00002C000000}">
      <text>
        <r>
          <rPr>
            <sz val="11"/>
            <color theme="1"/>
            <rFont val="Calibri"/>
            <family val="2"/>
            <scheme val="minor"/>
          </rPr>
          <t>Mayra Callejas:
o_creditwhere = otro</t>
        </r>
      </text>
    </comment>
    <comment ref="D267" authorId="0" shapeId="0" xr:uid="{00000000-0006-0000-0000-00002D000000}">
      <text>
        <r>
          <rPr>
            <sz val="11"/>
            <color theme="1"/>
            <rFont val="Calibri"/>
            <family val="2"/>
            <scheme val="minor"/>
          </rPr>
          <t>Mayra Callejas:
si o_reserves_corn = 2, 3</t>
        </r>
      </text>
    </comment>
    <comment ref="D268" authorId="0" shapeId="0" xr:uid="{00000000-0006-0000-0000-00002E000000}">
      <text>
        <r>
          <rPr>
            <sz val="11"/>
            <color theme="1"/>
            <rFont val="Calibri"/>
            <family val="2"/>
            <scheme val="minor"/>
          </rPr>
          <t>Mayra Callejas:
si o_reserves_cornorigin = otro</t>
        </r>
      </text>
    </comment>
    <comment ref="D269" authorId="0" shapeId="0" xr:uid="{00000000-0006-0000-0000-00002F000000}">
      <text>
        <r>
          <rPr>
            <sz val="11"/>
            <color theme="1"/>
            <rFont val="Calibri"/>
            <family val="2"/>
            <scheme val="minor"/>
          </rPr>
          <t>Mayra Callejas:
si o_reserves_corn = 3</t>
        </r>
      </text>
    </comment>
    <comment ref="D270" authorId="0" shapeId="0" xr:uid="{00000000-0006-0000-0000-000030000000}">
      <text>
        <r>
          <rPr>
            <sz val="11"/>
            <color theme="1"/>
            <rFont val="Calibri"/>
            <family val="2"/>
            <scheme val="minor"/>
          </rPr>
          <t>Mayra Callejas:
se activa si o_reserves_corn = sí, tengo actualmente</t>
        </r>
      </text>
    </comment>
    <comment ref="D272" authorId="0" shapeId="0" xr:uid="{00000000-0006-0000-0000-000031000000}">
      <text>
        <r>
          <rPr>
            <sz val="11"/>
            <color theme="1"/>
            <rFont val="Calibri"/>
            <family val="2"/>
            <scheme val="minor"/>
          </rPr>
          <t>Mayra Callejas:
si o_reserves_been = 2, 3</t>
        </r>
      </text>
    </comment>
    <comment ref="D273" authorId="0" shapeId="0" xr:uid="{00000000-0006-0000-0000-000032000000}">
      <text>
        <r>
          <rPr>
            <sz val="11"/>
            <color theme="1"/>
            <rFont val="Calibri"/>
            <family val="2"/>
            <scheme val="minor"/>
          </rPr>
          <t>Mayra Callejas:
si o_reserves_beenorigin = otro</t>
        </r>
      </text>
    </comment>
    <comment ref="D274" authorId="0" shapeId="0" xr:uid="{00000000-0006-0000-0000-000033000000}">
      <text>
        <r>
          <rPr>
            <sz val="11"/>
            <color theme="1"/>
            <rFont val="Calibri"/>
            <family val="2"/>
            <scheme val="minor"/>
          </rPr>
          <t>Mayra Callejas:
si o_reserves_been = 3</t>
        </r>
      </text>
    </comment>
    <comment ref="D275" authorId="0" shapeId="0" xr:uid="{00000000-0006-0000-0000-000034000000}">
      <text>
        <r>
          <rPr>
            <sz val="11"/>
            <color theme="1"/>
            <rFont val="Calibri"/>
            <family val="2"/>
            <scheme val="minor"/>
          </rPr>
          <t>Mayra Callejas:
se activa si o_reserves_been = sí, tengo actualmente</t>
        </r>
      </text>
    </comment>
    <comment ref="D307" authorId="0" shapeId="0" xr:uid="{00000000-0006-0000-0000-000035000000}">
      <text>
        <r>
          <rPr>
            <sz val="11"/>
            <color theme="1"/>
            <rFont val="Calibri"/>
            <family val="2"/>
            <scheme val="minor"/>
          </rPr>
          <t>Mayra Callejas:
**Participar en actividades riesgosas (Vender en lugares riesgosos, pepenador en basureros).</t>
        </r>
      </text>
    </comment>
    <comment ref="D327" authorId="0" shapeId="0" xr:uid="{00000000-0006-0000-0000-000036000000}">
      <text>
        <r>
          <rPr>
            <sz val="11"/>
            <color theme="1"/>
            <rFont val="Calibri"/>
            <family val="2"/>
            <scheme val="minor"/>
          </rPr>
          <t xml:space="preserve">Mayra Callejas:
Debe limitarse solo a los hogares que reportan ser agropecuarios
</t>
        </r>
      </text>
    </comment>
    <comment ref="D328" authorId="0" shapeId="0" xr:uid="{00000000-0006-0000-0000-000037000000}">
      <text>
        <r>
          <rPr>
            <sz val="11"/>
            <color theme="1"/>
            <rFont val="Calibri"/>
            <family val="2"/>
            <scheme val="minor"/>
          </rPr>
          <t>Mayra Callejas:
Debe limitarse solo a los hogares que reportan ser agropecuarios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Mayra Callejas</author>
  </authors>
  <commentList>
    <comment ref="D46" authorId="0" shapeId="0" xr:uid="{00000000-0006-0000-0100-000001000000}">
      <text>
        <r>
          <rPr>
            <sz val="11"/>
            <color theme="1"/>
            <rFont val="Calibri"/>
            <family val="2"/>
            <scheme val="minor"/>
          </rPr>
          <t>Mayra Callejas:
Solo educación informal o religiosa</t>
        </r>
      </text>
    </comment>
  </commentList>
</comments>
</file>

<file path=xl/sharedStrings.xml><?xml version="1.0" encoding="utf-8"?>
<sst xmlns="http://schemas.openxmlformats.org/spreadsheetml/2006/main" count="6525" uniqueCount="3006">
  <si>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</si>
  <si>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</si>
  <si>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</si>
  <si>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</si>
  <si>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</si>
  <si>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</si>
  <si>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</si>
  <si>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</si>
  <si>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</si>
  <si>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</si>
  <si>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</si>
  <si>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</si>
  <si>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</si>
  <si>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</si>
  <si>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</si>
  <si>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</si>
  <si>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</si>
  <si>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</si>
  <si>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</si>
  <si>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</si>
  <si>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</si>
  <si>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</si>
  <si>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</si>
  <si>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</si>
  <si>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</si>
  <si>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</si>
  <si>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</si>
  <si>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</si>
  <si>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</si>
  <si>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</si>
  <si>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</si>
  <si>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</si>
  <si>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</si>
  <si>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</si>
  <si>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</si>
  <si>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Número o código del equipo de encuestadores</t>
  </si>
  <si>
    <t>select_one enumerator</t>
  </si>
  <si>
    <t>enumerator</t>
  </si>
  <si>
    <t>Name of enumerator</t>
  </si>
  <si>
    <t>Nombre del encuestador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</si>
  <si>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</si>
  <si>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</si>
  <si>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</si>
  <si>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</si>
  <si>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</si>
  <si>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</si>
  <si>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</si>
  <si>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</si>
  <si>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${encuestador_}.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15 / 20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</si>
  <si>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</si>
  <si>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</si>
  <si>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false</t>
  </si>
  <si>
    <t>no</t>
  </si>
  <si>
    <t>select_one yesno</t>
  </si>
  <si>
    <t>resp_agree</t>
  </si>
  <si>
    <t>Are you interested in participating in this survey?</t>
  </si>
  <si>
    <t>¿Está interesado en participar en esta encuesta?</t>
  </si>
  <si>
    <t>Refusal</t>
  </si>
  <si>
    <t>Thank you for your time, you will be removed from today's survey.</t>
  </si>
  <si>
    <t xml:space="preserve">Gracias por su tiempo, será descartado para la encuesta de hoy. </t>
  </si>
  <si>
    <t>${resp_agree} = '2'</t>
  </si>
  <si>
    <t>begin_group</t>
  </si>
  <si>
    <t>eligibility</t>
  </si>
  <si>
    <t>ELIGIBILITY CRITERIA</t>
  </si>
  <si>
    <t>Criterios de eligibilidad</t>
  </si>
  <si>
    <t>${resp_agree} = '1'</t>
  </si>
  <si>
    <t>text</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</si>
  <si>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</si>
  <si>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</si>
  <si>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</si>
  <si>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</si>
  <si>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</si>
  <si>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</si>
  <si>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</si>
  <si>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</si>
  <si>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</si>
  <si>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</si>
  <si>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</si>
  <si>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</si>
  <si>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</si>
  <si>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</si>
  <si>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</si>
  <si>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</si>
  <si>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</si>
  <si>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</si>
  <si>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</si>
  <si>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</si>
  <si>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</si>
  <si>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</si>
  <si>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</si>
  <si>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select_one admin1</t>
  </si>
  <si>
    <t>adm1_pcode</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</si>
  <si>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</si>
  <si>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</si>
  <si>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</si>
  <si>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</si>
  <si>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</si>
  <si>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</si>
  <si>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</si>
  <si>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my_filter_admin=${adm1_pcode}</t>
  </si>
  <si>
    <t>adm2_name</t>
  </si>
  <si>
    <t>jr:choice-name(${adm2_pcode},'${adm2_pcode}')</t>
  </si>
  <si>
    <t>select_one yes_no</t>
  </si>
  <si>
    <t>o_area</t>
  </si>
  <si>
    <t>Is your household located in the urban downtown area?</t>
  </si>
  <si>
    <t>¿Se encuentra su hogar en el casco urbano del municipio?</t>
  </si>
  <si>
    <t>Casco urbano: Área comprendida por los núcleos poblacionales que circunscriben, en forma continua, la Alcaldía Municipal y que es conocida como casco urbano del municipio. </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</si>
  <si>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</si>
  <si>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</si>
  <si>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</si>
  <si>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</si>
  <si>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</si>
  <si>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</si>
  <si>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hh_fish</t>
  </si>
  <si>
    <t xml:space="preserve">Has anybody in your household been engaged in aquatic production [fish catch or aquaculture farming] for household consumption or for sales in the past 12 months? </t>
  </si>
  <si>
    <t>Algún miembro de su hogar ha estado involucrado en la producción piscícola [pesca o acuicultura] para el consumo del hogar o para la venta?</t>
  </si>
  <si>
    <t>[HINT FOR PROBING: It should not include sports fishing. It should be about production of aquatic products [fish catch or aquaculture farming] for household consumption or sales.]</t>
  </si>
  <si>
    <t>[PISTA PARA VALIDACIÓN: NO DEBE ser incluida la pesca deportiva. Debería tratarse de productos piscícolas [pesca o acuicultura] para el consumo del hogar o para la venta.]</t>
  </si>
  <si>
    <t>end_group</t>
  </si>
  <si>
    <t>generalInfo</t>
  </si>
  <si>
    <t>GENERAL INFORMATION</t>
  </si>
  <si>
    <t>INFORMACIÓN GENERAL</t>
  </si>
  <si>
    <t>${resp_agree} = '1' and ${hh_agricactivity} != '5' and ${hh_agricactivity} != '6'</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</si>
  <si>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</si>
  <si>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</si>
  <si>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</si>
  <si>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</si>
  <si>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</si>
  <si>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</si>
  <si>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</si>
  <si>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</si>
  <si>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</si>
  <si>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</si>
  <si>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</si>
  <si>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</si>
  <si>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</si>
  <si>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</si>
  <si>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</si>
  <si>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</si>
  <si>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</si>
  <si>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</si>
  <si>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</si>
  <si>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</si>
  <si>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</si>
  <si>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</si>
  <si>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</si>
  <si>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</si>
  <si>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</si>
  <si>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</si>
  <si>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</si>
  <si>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</si>
  <si>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</si>
  <si>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hh_size</t>
  </si>
  <si>
    <t>How many people are part of the household?</t>
  </si>
  <si>
    <t>¿Cuántas personas hacen parte del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</si>
  <si>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</si>
  <si>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</si>
  <si>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</si>
  <si>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select_multiple asset_prod</t>
  </si>
  <si>
    <t>hh_asset_prod</t>
  </si>
  <si>
    <t xml:space="preserve">Does your household own any of the following productive assets? </t>
  </si>
  <si>
    <t>¿Tiene su hogar alguno de los siguientes activos productivos?</t>
  </si>
  <si>
    <t>[INSTRUCTIONS: MULTIPLE RESPONSES POSSIBLE. READ ANSWER OPTIONS OUT LOUD.]</t>
  </si>
  <si>
    <t>[ENCUESTADOR/A: ES POSIBLE SELECCIONAR MÚLTIPLES RESPUESTAS. LEA LAS OPCIONES DE RESPUESTA EN VOZ ALTA.]</t>
  </si>
  <si>
    <t>if(selected(.,'none') or selected(.,'dk') or selected(.,'ref'), count-selected(.) = 1, count-selected(.) &gt;= 1)</t>
  </si>
  <si>
    <t>select_multiple asset_transp</t>
  </si>
  <si>
    <t>hh_asset_transp</t>
  </si>
  <si>
    <t xml:space="preserve">Do you or any member of household own any of the following transportation assets? </t>
  </si>
  <si>
    <t>¿Tiene su hogar alguno de los siguientes medios de transporte?</t>
  </si>
  <si>
    <t>select_one maritalstat</t>
  </si>
  <si>
    <t>hh_maritalstat</t>
  </si>
  <si>
    <t xml:space="preserve">What is the head of household’s current marital status? </t>
  </si>
  <si>
    <t>¿Cuál es el estado civil actual de la persona cabeza de hogar?</t>
  </si>
  <si>
    <t>select_one agegroup</t>
  </si>
  <si>
    <t>hh_age</t>
  </si>
  <si>
    <t xml:space="preserve">How old is the head of household? </t>
  </si>
  <si>
    <t>¿Cuál es la edad de la persona cabeza de hogar?</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</si>
  <si>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</si>
  <si>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</si>
  <si>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</si>
  <si>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</si>
  <si>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</si>
  <si>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</si>
  <si>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</si>
  <si>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</si>
  <si>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</si>
  <si>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</si>
  <si>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</si>
  <si>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</si>
  <si>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</si>
  <si>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</si>
  <si>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</si>
  <si>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</si>
  <si>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</si>
  <si>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</si>
  <si>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</si>
  <si>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</si>
  <si>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</si>
  <si>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</si>
  <si>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</si>
  <si>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</si>
  <si>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</si>
  <si>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USD) from your main income source, ${incomemain}, in the past 3 months ?</t>
  </si>
  <si>
    <t>¿Cuánto ganó (en USD)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</si>
  <si>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</si>
  <si>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</si>
  <si>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0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</si>
  <si>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</si>
  <si>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</si>
  <si>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</si>
  <si>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</si>
  <si>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</si>
  <si>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5000, CLICK ON CONTINUE. OTHERWISE, GO BACK AND CHANGE THE AMOUNT ENTERED.]</t>
  </si>
  <si>
    <t>[ENCUESTADOR/A: SI LA CANTIDAD GANADA POR ESTA FUENTE DE INGRESOS EN LOS ÚLTIMOS 3 MESES ESTÁ POR ENCIMA DE 5000 ,HAGA CLICK EN CONTINUAR. DE LO CONTRARIO, REGRESE Y CAMBIE LA CANTIDAD INGRESADA.]</t>
  </si>
  <si>
    <t xml:space="preserve">${income_main_amount} &gt; 5000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</si>
  <si>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</si>
  <si>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</si>
  <si>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</si>
  <si>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</si>
  <si>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</si>
  <si>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</si>
  <si>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</si>
  <si>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</si>
  <si>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</si>
  <si>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</si>
  <si>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last year?</t>
  </si>
  <si>
    <t>En los últimos 3 meses, ¿han cambiado los ingresos del hogar provenientes de la ${incomemain} comparado con el mismo periodo en el año pasado?</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</si>
  <si>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</si>
  <si>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</si>
  <si>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</si>
  <si>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</si>
  <si>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</si>
  <si>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</si>
  <si>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</si>
  <si>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</si>
  <si>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</si>
  <si>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</si>
  <si>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</si>
  <si>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</si>
  <si>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</si>
  <si>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</si>
  <si>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</si>
  <si>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</si>
  <si>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income_sec_amount</t>
  </si>
  <si>
    <t>How much was earned (in USD) from your second main income source, ${incomesec}, in the past 3 months ?</t>
  </si>
  <si>
    <t>¿Cuánto ganó (en USD) por la segunda fuente de ingresos, ${incomesec}, en los últimos 3 meses?</t>
  </si>
  <si>
    <t xml:space="preserve">${income_main} != '19' and ${income_main} != '20' and ${income_sec} != '19' and ${income_sec} != '20' and ${income_sec} != '21' </t>
  </si>
  <si>
    <t>income_sec_amount_conf</t>
  </si>
  <si>
    <t>${income_sec_amount} &gt; 5000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</si>
  <si>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</si>
  <si>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</si>
  <si>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</si>
  <si>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last year?</t>
  </si>
  <si>
    <t>En los últimos 3 meses, ¿han cambiado los ingresos del hogar provenientes de la ${incomesec} comparado con el mismo periodo en el año pasado?</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</si>
  <si>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</si>
  <si>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</si>
  <si>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</si>
  <si>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</si>
  <si>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</si>
  <si>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</si>
  <si>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</si>
  <si>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</si>
  <si>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</si>
  <si>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</si>
  <si>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</si>
  <si>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</si>
  <si>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</si>
  <si>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</si>
  <si>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</si>
  <si>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USD) from your third main income source, ${incomethird}, in the past 3 months ?</t>
  </si>
  <si>
    <t>¿Cuánto ganó (en USD) por la tercera fuente de ingresos, ${incomethird}, en los últimos 3 meses?</t>
  </si>
  <si>
    <t xml:space="preserve">${income_main} != '19' and ${income_main} != '20' and ${income_sec} != '19' and ${income_sec} != '20' and ${income_sec} != '21' and ${income_third} != '19' and ${income_third} != '20' and ${income_third} != '21' </t>
  </si>
  <si>
    <t>income_third_amount_conf</t>
  </si>
  <si>
    <t>${income_third_amount} &gt; 5000 and (${income_main} != '19' and ${income_main} != '20' and ${income_sec} != '19' and ${income_sec} != '20' and ${income_sec} != '21' and ${income_third} != '19' and ${income_third} != '20' and ${income_third} != '21' )</t>
  </si>
  <si>
    <t>income_third_gender</t>
  </si>
  <si>
    <t>income_third_control</t>
  </si>
  <si>
    <t>income_third_comp</t>
  </si>
  <si>
    <t>Has your household's income from ${incomethird} changed in the last 3 months compared to the same period of last year?</t>
  </si>
  <si>
    <t>En los últimos 3 meses, ¿han cambiado los ingresos del hogar provenientes de la ${incomethird} comparado con el mismo periodo en el año pasado?</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</si>
  <si>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</si>
  <si>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</si>
  <si>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</si>
  <si>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</si>
  <si>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</si>
  <si>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</si>
  <si>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</si>
  <si>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o_jornal</t>
  </si>
  <si>
    <t>Is anyone in your household going to migrate or has already migrated temporarily for casual labor for coffee, cane or other cash crop harvest?</t>
  </si>
  <si>
    <t>¿Alguna persona de su hogar va a migrar o ha migrado temporalmente para la cosecha del café, la caña u otro cultivo comercial?</t>
  </si>
  <si>
    <t>select_one jornal_cuantas</t>
  </si>
  <si>
    <t>o_jornal_cuantaspersonas</t>
  </si>
  <si>
    <t>How many people have emigrated or will migrate temporarily for casual labor for coffee, cane or other cash crop harvest?</t>
  </si>
  <si>
    <t>¿Cuántas personas van a migrar o han migrado temporalmente para trabajar como jornalero en la cosecha del café, la caña u otro cultivo comercial?</t>
  </si>
  <si>
    <t>${o_jornal} = '1'</t>
  </si>
  <si>
    <t>select_one jornal_cultivo</t>
  </si>
  <si>
    <t>o_jornal_cultivo</t>
  </si>
  <si>
    <t>For which crop are the members of your household going to work as casual laborers?</t>
  </si>
  <si>
    <t>¿Para qué cultivo los miembros de su hogar van a trabajar como jornaleros?</t>
  </si>
  <si>
    <t>select_multiple migration</t>
  </si>
  <si>
    <t>o_migration</t>
  </si>
  <si>
    <t>In the last 3 months, has anyone in your household emigrated abroad?</t>
  </si>
  <si>
    <t>En los últimos 3 meses, algún miembro de su hogar ha emigrado fuera del país?</t>
  </si>
  <si>
    <t>select_multiple migrationgender</t>
  </si>
  <si>
    <t>o_migrationgender</t>
  </si>
  <si>
    <t>How many people have emigrated and what is the gender of the people who have emigrated in the last 3 months?</t>
  </si>
  <si>
    <t>¿Cuántas personas ha(n) emigrado y cuál es el género de la(s) personas que ha(n) emigrado en los últimos 3 meses?</t>
  </si>
  <si>
    <t>${o_migration}= '1' or {o_migration} = '2'</t>
  </si>
  <si>
    <t>o_migrationgenderOS</t>
  </si>
  <si>
    <t>Other, specify</t>
  </si>
  <si>
    <t>Otro, especifique</t>
  </si>
  <si>
    <t>${o_migrationgender} = '5'</t>
  </si>
  <si>
    <t>o_migrationhh</t>
  </si>
  <si>
    <t>Was the person or any of the people who have emigrated out of the country in the last 3 months considered the head of the household?</t>
  </si>
  <si>
    <t>¿La persona o alguna de las personas que han emigrado fuera del país en los últimos 3 meses, era considerada como la cabeza del hogar?</t>
  </si>
  <si>
    <t>o_remittances</t>
  </si>
  <si>
    <t>Does your household receive any remittances?</t>
  </si>
  <si>
    <t xml:space="preserve">¿Su hogar recibe remesas? </t>
  </si>
  <si>
    <t>select_one remittancesfreq</t>
  </si>
  <si>
    <t>o_remittancesfreq</t>
  </si>
  <si>
    <t>How frequently?</t>
  </si>
  <si>
    <t>¿Con que frecuencia?</t>
  </si>
  <si>
    <t>${o_remittances} = '1'</t>
  </si>
  <si>
    <t>select_multiple remittancesuse</t>
  </si>
  <si>
    <t>o_remittancesuse</t>
  </si>
  <si>
    <t>How have you used the remittances in the past 3 months?</t>
  </si>
  <si>
    <t>¿Cuál es el uso que le han dado a las remesas del hogar en los últimos 3 meses?</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</si>
  <si>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</si>
  <si>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</si>
  <si>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</si>
  <si>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</si>
  <si>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</si>
  <si>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First.</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</si>
  <si>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</si>
  <si>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</si>
  <si>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</si>
  <si>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</si>
  <si>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</si>
  <si>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</si>
  <si>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</si>
  <si>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</si>
  <si>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</si>
  <si>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</si>
  <si>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</si>
  <si>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</si>
  <si>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</si>
  <si>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o_crp_landsize_primera</t>
  </si>
  <si>
    <t>What is the total size of land that you cultivated during the Primera?</t>
  </si>
  <si>
    <t xml:space="preserve">¿Cúal es el tamaño total de terreno que cultivó para la Primera? </t>
  </si>
  <si>
    <t>select_one landtenure</t>
  </si>
  <si>
    <t>o_landtenure</t>
  </si>
  <si>
    <t>Do you own the land that was cultivated?</t>
  </si>
  <si>
    <t>¿El terreno que cultivó es propio?</t>
  </si>
  <si>
    <t>o_landtenure_otherspecify</t>
  </si>
  <si>
    <t>If other, specify.</t>
  </si>
  <si>
    <t>Si es otro, especifique</t>
  </si>
  <si>
    <t>${o_landtenure} = '4'</t>
  </si>
  <si>
    <t>select_one crop</t>
  </si>
  <si>
    <t>crp_main</t>
  </si>
  <si>
    <t>What is the main crop that your household grows for food or income generation in First, if any?</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</si>
  <si>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</si>
  <si>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</si>
  <si>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</si>
  <si>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</si>
  <si>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</si>
  <si>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</si>
  <si>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First?</t>
  </si>
  <si>
    <t>${crp_main}='777'</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</si>
  <si>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</si>
  <si>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</si>
  <si>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</si>
  <si>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</si>
  <si>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</si>
  <si>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</si>
  <si>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</si>
  <si>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</si>
  <si>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</si>
  <si>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</si>
  <si>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</si>
  <si>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</si>
  <si>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</si>
  <si>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</si>
  <si>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crp_irrig_pay</t>
  </si>
  <si>
    <t xml:space="preserve">Do you have to pay for water rights [e.g. water rights, communal infrastructure maintenance, gas for communal pump, etc.]? </t>
  </si>
  <si>
    <t>¿Usted tiene que pagar por el derecho de uso del agua [ej. Derecho de uso, manteniemiento de infraestructura comunal, gasolina/diesel de la bomba comunal, etc.]?</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</si>
  <si>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</si>
  <si>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</si>
  <si>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</si>
  <si>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</si>
  <si>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</si>
  <si>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</si>
  <si>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</si>
  <si>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</si>
  <si>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First compare to last year?</t>
  </si>
  <si>
    <t>select_multiple area_changewhy</t>
  </si>
  <si>
    <t>o_crp_area_changewhy</t>
  </si>
  <si>
    <t>Why did you sow less ${crpmain} than las year?</t>
  </si>
  <si>
    <t>¿Por qué sembró menos ${crpmain} que el año pasado?</t>
  </si>
  <si>
    <t>${crp_area_change} = '4' or {crp_area_change} = '5'</t>
  </si>
  <si>
    <t>o_crp_area_changewhyOS</t>
  </si>
  <si>
    <t>If other, specify</t>
  </si>
  <si>
    <t>${o_crp_area_changewhy} = '4'</t>
  </si>
  <si>
    <t>crp_harv_vol</t>
  </si>
  <si>
    <t>How much (threshed) ${crpmain} did you harvest this First?</t>
  </si>
  <si>
    <t>[INSTRUCTIONS: RECORD THE RESPONSE GIVEN. UNIT OF MEASUREMENT TO BE SPECIFIED IN NEXT QUESTION. ENTER 888 FOR DON'T KNOW &amp; 999 FOR REFUSED, TO BE USED RARELY - PROBE!]</t>
  </si>
  <si>
    <t>[ENCUESTADOR/A: ESCRIBA LA RESPUESTA. SE ESPECIFICA LA UNIDAD DE MEDIDA EN LA SIGUIENTE PREGUNTA. ESCRIBA 888 PARA "NO SABE" Y 999 PARA "NO RESPONDE", ESTAS OPCIONES DEBEN SER UTILIZADAS SOLO EXCEPCIONALMENTE.]</t>
  </si>
  <si>
    <t>select_one harv_unit</t>
  </si>
  <si>
    <t>crp_harv_unit</t>
  </si>
  <si>
    <t>Unit of measurement for harvested ${crpmain}:</t>
  </si>
  <si>
    <t>Unidad de medida para la cosecha de ${crpmain}:</t>
  </si>
  <si>
    <t>${crp_harv_vol} != '888' and ${crp_harv_vol} != '999'</t>
  </si>
  <si>
    <t>crp_harvunit</t>
  </si>
  <si>
    <t>jr:choice-name(${crp_harv_unit},'${crp_harv_unit}')</t>
  </si>
  <si>
    <t>crp_harv_unit_kg</t>
  </si>
  <si>
    <t>How many kilograms [kgs] in each unit?</t>
  </si>
  <si>
    <t>¿Cuántos kilogramos [Kgs] en cada unidad?</t>
  </si>
  <si>
    <t>[INSTRUCTIONS: RECORD THE RESPONSE GIVEN. ENTER 888 FOR DON'T KNOW &amp; 999 FOR REFUSED, TO BE USED RARELY - PROBE!]</t>
  </si>
  <si>
    <t>[ENCUESTADOR/A: ESCRIBA LA RESPUESTA. ESCRIBA 888 PARA "NO SABE" Y 999 PARA "NO RESPONDE", ESTAS OPCIONES DEBEN SER UTILIZADAS SOLO EXCEPCIONALMENTE.]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</si>
  <si>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</si>
  <si>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</si>
  <si>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</si>
  <si>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</si>
  <si>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crp_harv_change</t>
  </si>
  <si>
    <t xml:space="preserve">How does the  ***harvest*** of ${crpmain} in the First compare to last year? </t>
  </si>
  <si>
    <t>select_one harvdestination</t>
  </si>
  <si>
    <t>o_harvdestination</t>
  </si>
  <si>
    <t>Out of the you harvested, how much did you use for your own consumption and how much for selling?</t>
  </si>
  <si>
    <t xml:space="preserve">¿Del total de la producción de ${crpmain}, cuánto destinó para consumo en el hogar y cuánto para comercialización? </t>
  </si>
  <si>
    <t>o_harvdestination_otherspecify</t>
  </si>
  <si>
    <t>${o_harvdestination} = '8'</t>
  </si>
  <si>
    <t>crp_proddif</t>
  </si>
  <si>
    <t>Has your household faced any significant difficulty ***in terms of crop production*** in First?</t>
  </si>
  <si>
    <t>${crp_main} != '888' and ${crp_main} != '999' and ${crp_main_check} != 1</t>
  </si>
  <si>
    <t>select_multiple cropproddiff</t>
  </si>
  <si>
    <t>crp_proddif_</t>
  </si>
  <si>
    <t>Which difficulties has your household faced with crop production in First?</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</si>
  <si>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</si>
  <si>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</si>
  <si>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</si>
  <si>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storage</t>
  </si>
  <si>
    <t>crp_storage</t>
  </si>
  <si>
    <t>Last year, what proportion of your ${crpmain} stock did you lose [to pests, rotting, mould, etc.] after the harvest?</t>
  </si>
  <si>
    <t>El año pasado ¿qué proporción de su ${crpmain} perdió [por plagas, putrefacción, hongos,etc.] después de la cosecha?</t>
  </si>
  <si>
    <t>${crp_main} != '888' and ${crp_main} != '999' and ${crp_main} != '777'</t>
  </si>
  <si>
    <t>select_multiple crop2</t>
  </si>
  <si>
    <t>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</si>
  <si>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</si>
  <si>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</si>
  <si>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</si>
  <si>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</si>
  <si>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</si>
  <si>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not(selected(${crp_main}, name))</t>
  </si>
  <si>
    <t>maize_group</t>
  </si>
  <si>
    <t>Maize production</t>
  </si>
  <si>
    <t>Cultivo de maíz</t>
  </si>
  <si>
    <t>${resp_agree} = '1' and {crp_main} = '1.5'</t>
  </si>
  <si>
    <t>select_multiple crp_plantxyear</t>
  </si>
  <si>
    <t>o_crp_plantxyear_maiz</t>
  </si>
  <si>
    <t>How many times do you plant maize every year?</t>
  </si>
  <si>
    <t>¿Cuántas siembras de maíz realiza al año habitualmente?</t>
  </si>
  <si>
    <t>Período de referencia: los últimos 5 años</t>
  </si>
  <si>
    <t>select_one crp_plant1</t>
  </si>
  <si>
    <t>o_crp_plantmaiz</t>
  </si>
  <si>
    <t>On what date did you plant the maize for the Priimera season this year?</t>
  </si>
  <si>
    <t>¿En que fecha sembró el maíz para la época de primera de este año?</t>
  </si>
  <si>
    <t>o_crp_plantmaiz_otherspecify</t>
  </si>
  <si>
    <t>${o_crp_plantmaiz} = '9'</t>
  </si>
  <si>
    <t>o_crp_plantmaiz_change</t>
  </si>
  <si>
    <t>Has the date on which you usually plant maize in the Primera season changed?</t>
  </si>
  <si>
    <t xml:space="preserve">¿Ha cambiado la fecha en que siembra habitualmente el maíz en época de primera? </t>
  </si>
  <si>
    <t>select_multiple plant_changewhy</t>
  </si>
  <si>
    <t>o_crp_plantmaiz_changewhy</t>
  </si>
  <si>
    <t>Why did the usual planting date for maize change during the Primera season this year?</t>
  </si>
  <si>
    <t>¿Por qué cambió la fecha de siembra habitual del maíz en época de primera de este año?</t>
  </si>
  <si>
    <t>${o_crp_plantmaiz_change} = '1'</t>
  </si>
  <si>
    <t>select_one crplost</t>
  </si>
  <si>
    <t>o_crp_maizlost</t>
  </si>
  <si>
    <t>Did you have losses in the maize crop planted in the Primera season this year?</t>
  </si>
  <si>
    <t>¿Tuvo pérdidas en el cultivo de maíz sembrado en época de primera de este año?</t>
  </si>
  <si>
    <t>select_multiple crp_lostcauses</t>
  </si>
  <si>
    <t>o_crp_maizlost_causes</t>
  </si>
  <si>
    <t>What were the causes of the loss of the maize crop?</t>
  </si>
  <si>
    <t>¿Cuáles fueron las causas de la pérdida del cultivo de maíz?</t>
  </si>
  <si>
    <t>${o_crp_maizlost} = '2' or {o_crp_maizlost} = '3' or {o_crp_maizlost} = '4' or {o_crp_maizlost} = '5' or {o_crp_maizlost} = '6' or {o_crp_maizlost} = '7'</t>
  </si>
  <si>
    <t>o_crp_plantmaizagain</t>
  </si>
  <si>
    <t>If you lost all or almost all of your crop, did you plant again?</t>
  </si>
  <si>
    <t>Si perdió todo o casi todo el cultivo ¿Sembró de nuevo?</t>
  </si>
  <si>
    <t>${o_crp_maizlost} = '7' or {o_crp_maizlost} = '6'</t>
  </si>
  <si>
    <t>o_crp_plantmaizagain_date</t>
  </si>
  <si>
    <t>On what date did you sow again (week and month)?</t>
  </si>
  <si>
    <t>¿En que fecha sembró de nuevo (semana y mes)?</t>
  </si>
  <si>
    <t>${o_crp_plantmaizagain} = '1'</t>
  </si>
  <si>
    <t>select_one crp_harv</t>
  </si>
  <si>
    <t>o_crp_harvmaiz</t>
  </si>
  <si>
    <t>On what date did you harvest the maize during the Primera season?</t>
  </si>
  <si>
    <t>En qué fecha cosechó el maíz en época de primera?</t>
  </si>
  <si>
    <t>o_crp_harvmaizOS</t>
  </si>
  <si>
    <t>${o_crp_harvmaiz} = '1'</t>
  </si>
  <si>
    <t>select_one crp_plant2</t>
  </si>
  <si>
    <t>o_crp_plant2_maizdate</t>
  </si>
  <si>
    <t>On what date did you plant the maize for this year's dessert season?</t>
  </si>
  <si>
    <t>¿En que fecha sembró el maíz  para la época de postrera de este año?</t>
  </si>
  <si>
    <t>${o_crp_plantxyear_maiz} = '2'</t>
  </si>
  <si>
    <t>o_crp_plant2_maizdateotherspecify</t>
  </si>
  <si>
    <t>${o_crp_plant2_maizdate} = '9'</t>
  </si>
  <si>
    <t>select_one crp_plant3</t>
  </si>
  <si>
    <t>o_crp_plant3_maizdate</t>
  </si>
  <si>
    <t>What date do you plan to plant maize for this year's apante season?</t>
  </si>
  <si>
    <t>¿En que fecha planea sembrar el maíz para la época de apante de este año?</t>
  </si>
  <si>
    <t>${o_crp_plantxyear_maiz} = '3'</t>
  </si>
  <si>
    <t>o_crp_plant3_maizdateotherspecify</t>
  </si>
  <si>
    <t>${o_crp_plant3_maizdate} = '9'</t>
  </si>
  <si>
    <t>bean_group</t>
  </si>
  <si>
    <t>Bean production</t>
  </si>
  <si>
    <t>Cultivo de frijol</t>
  </si>
  <si>
    <t>${resp_agree} = '1' and {crp_main} = '3.1'</t>
  </si>
  <si>
    <t>o_crp_plantxyear_been</t>
  </si>
  <si>
    <t>How many times do you plant bean every year?</t>
  </si>
  <si>
    <t>¿Cuántas siembras de frijol realiza al año habitualmente?</t>
  </si>
  <si>
    <t>o_crp_plantbeen</t>
  </si>
  <si>
    <t>On what date did you plant beans for the Priimera season this year?</t>
  </si>
  <si>
    <t>¿En que fecha sembró el frijol para la época de primera de este año?</t>
  </si>
  <si>
    <t>o_crp_plantbeen_otherspecify</t>
  </si>
  <si>
    <t>${o_crp_plantbeen} = '9'</t>
  </si>
  <si>
    <t>o_crp_plantbeen_change</t>
  </si>
  <si>
    <t>Has the date on which you usually plant bean in the Primera season changed?</t>
  </si>
  <si>
    <t xml:space="preserve">¿Ha cambiado la fecha en que siembra habitualmente el frijol en época de primera? </t>
  </si>
  <si>
    <t>o_crp_plantbeen_changewhy</t>
  </si>
  <si>
    <t>Why did the usual planting date for bean change during the Primera season this year?</t>
  </si>
  <si>
    <t>¿Por qué cambió la fecha de siembra habitual de frijol en época de primera de este año?</t>
  </si>
  <si>
    <t>${o_crp_plantbeen_change} = '1'</t>
  </si>
  <si>
    <t>select_one beenporpose</t>
  </si>
  <si>
    <t>o_crp_plantbeen_purpose</t>
  </si>
  <si>
    <t>What was the main purpose of planting beans grown in the first season this year?</t>
  </si>
  <si>
    <t>¿Cuál fue el propósito principal de la siembra del frijol cultivado en época de primera de este año?</t>
  </si>
  <si>
    <t>o_crp_beenlost</t>
  </si>
  <si>
    <t>Did you have losses in the bean crop planted in the Primera season this year?</t>
  </si>
  <si>
    <t>¿Tuvo pérdidas en el cultivo de frijol sembrado en época de primera de este año?</t>
  </si>
  <si>
    <t>o_crp_beenlost_causes</t>
  </si>
  <si>
    <t>What were the causes of the loss of the bean crop?</t>
  </si>
  <si>
    <t>¿Cuáles fueron las causas de la pérdida del cultivo de frijol?</t>
  </si>
  <si>
    <t>${o_crp_beenlost} = '2' or {o_crp_beenlost} = '3' or {o_crp_beenlost} = '4' or {o_crp_beenlost} = '5' or {o_crp_beenlost} = '6'or {o_crp_beenlost} = '7'</t>
  </si>
  <si>
    <t>o_crp_plantbeenagain</t>
  </si>
  <si>
    <t>${o_crp_beenlost} = '6' or {o_crp_beenlost} = '7'</t>
  </si>
  <si>
    <t>o_crp_plantbeenagain_date</t>
  </si>
  <si>
    <t>${o_crp_plantbeenagain} = '1'</t>
  </si>
  <si>
    <t>o_crp_harvbeen</t>
  </si>
  <si>
    <t>On what date did you harvest the bean during the Primera season?</t>
  </si>
  <si>
    <t>En qué fecha cosechó el frijol en época de primera?</t>
  </si>
  <si>
    <t>o_crp_harvbeenOS</t>
  </si>
  <si>
    <t>${o_crp_harvbeen} = '1'</t>
  </si>
  <si>
    <t>o_crp_plant2_beendate</t>
  </si>
  <si>
    <t>On what date did you plant the bean for this year's dessert season?</t>
  </si>
  <si>
    <t>¿En que fecha sembró el frijol para la época de postrera de este año?</t>
  </si>
  <si>
    <t>${o_crp_plantxyear_been} = '2'</t>
  </si>
  <si>
    <t>o_crp_plant2_beendateotherspecify</t>
  </si>
  <si>
    <t>${o_crp_plant2_beendate} = '9'</t>
  </si>
  <si>
    <t>o_crp_plant3_beendate</t>
  </si>
  <si>
    <t>What date do you plan to plant bean for this year's apante season?</t>
  </si>
  <si>
    <t>¿En que fecha planea sembrar el frijol para la época de apante de este año?</t>
  </si>
  <si>
    <t>${o_crp_plantxyear_been} = '3'</t>
  </si>
  <si>
    <t>o_crp_plant3_beendateotherspecify</t>
  </si>
  <si>
    <t>${o_crp_plant3_beendate} = '9'</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</si>
  <si>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</si>
  <si>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</si>
  <si>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</si>
  <si>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</si>
  <si>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</si>
  <si>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</si>
  <si>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</si>
  <si>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select_one crop3</t>
  </si>
  <si>
    <t>crp_sales_main_2</t>
  </si>
  <si>
    <t>What was the main crop that you sold over the *last 3 months*?</t>
  </si>
  <si>
    <t>¿Cuál ha sido el principal producto que ha vendido en los *últimos 3 meses*?</t>
  </si>
  <si>
    <t>${crp_sales_main_1}='2'</t>
  </si>
  <si>
    <t>crp_salesmain</t>
  </si>
  <si>
    <t>if(${crp_sales_main_1}='1',${crp_main},${crp_sales_main_2})</t>
  </si>
  <si>
    <t>crp_sales_main</t>
  </si>
  <si>
    <t>if(${crp_sales_main_1}='1',${crpmain},jr:choice-name(${crp_sales_main_2},'${crp_sales_main_2}'))</t>
  </si>
  <si>
    <t>select_one harvmarket</t>
  </si>
  <si>
    <t>o_harvmarket</t>
  </si>
  <si>
    <t>What is the main sales mechanism for your production of ${crpmain}?</t>
  </si>
  <si>
    <t>¿Cuál es el principal mecanismo de venta para su producción de ${crpmain}?</t>
  </si>
  <si>
    <t>${crp_sales_main_1}='1'</t>
  </si>
  <si>
    <t>crp_salesdif</t>
  </si>
  <si>
    <t>Has your household faced any significant difficulty in the last 3 months **selling** your ${crp_sales_main}?</t>
  </si>
  <si>
    <t>¿Su hogar ha enfrentado alguna dificultad para vender la cosecha ${crp_sales_main} en los últimos tres meses?</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</si>
  <si>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</si>
  <si>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</si>
  <si>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</si>
  <si>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</si>
  <si>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</si>
  <si>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</si>
  <si>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</si>
  <si>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</si>
  <si>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last year?</t>
  </si>
  <si>
    <t>¿Cómo compararía el precio actual de la cosecha principal de su hogar ${crp_sales_main} con respecto al precio promedio en el año pasado?</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</si>
  <si>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</si>
  <si>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</si>
  <si>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</si>
  <si>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</si>
  <si>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</si>
  <si>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</si>
  <si>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</si>
  <si>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</si>
  <si>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</si>
  <si>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</si>
  <si>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</si>
  <si>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</si>
  <si>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</si>
  <si>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</si>
  <si>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</si>
  <si>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</si>
  <si>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</si>
  <si>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</si>
  <si>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</si>
  <si>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</si>
  <si>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</si>
  <si>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</si>
  <si>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</si>
  <si>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or ${ls_main} != '11'</t>
  </si>
  <si>
    <t>ls_num_now</t>
  </si>
  <si>
    <t>How many ${lsmain} do you have now?</t>
  </si>
  <si>
    <t>¿Cuántos ${lsmain} tiene ahora?</t>
  </si>
  <si>
    <t>ls_num_diff</t>
  </si>
  <si>
    <t xml:space="preserve">Change in ${lsmain}: </t>
  </si>
  <si>
    <t>Cambio en ${lsmain}:</t>
  </si>
  <si>
    <t>(${ls_main} != '10' or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</si>
  <si>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</si>
  <si>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</si>
  <si>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</si>
  <si>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</si>
  <si>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</si>
  <si>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</si>
  <si>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</si>
  <si>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</si>
  <si>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</si>
  <si>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</si>
  <si>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</si>
  <si>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</si>
  <si>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</si>
  <si>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</si>
  <si>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</si>
  <si>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</si>
  <si>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</si>
  <si>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</si>
  <si>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</si>
  <si>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</si>
  <si>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</si>
  <si>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</si>
  <si>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</si>
  <si>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</si>
  <si>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</si>
  <si>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${ls_main} != '10' and ${ls_main} != '11'</t>
  </si>
  <si>
    <t>not(selected(${ls_main}, name))</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</si>
  <si>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</si>
  <si>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</si>
  <si>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</si>
  <si>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</si>
  <si>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</si>
  <si>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</si>
  <si>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</si>
  <si>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o producto de orgien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</si>
  <si>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</si>
  <si>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</si>
  <si>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</si>
  <si>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</si>
  <si>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</si>
  <si>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</si>
  <si>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</si>
  <si>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</si>
  <si>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</si>
  <si>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</si>
  <si>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</si>
  <si>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last year?</t>
  </si>
  <si>
    <t>¿Cómo se compara el precio actual del ${lssalesmain} con el precio promedio para la misma época del año en el año pasado?</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</si>
  <si>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</si>
  <si>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</si>
  <si>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</si>
  <si>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</si>
  <si>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</si>
  <si>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</si>
  <si>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</si>
  <si>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</si>
  <si>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</si>
  <si>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</si>
  <si>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</si>
  <si>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</si>
  <si>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</si>
  <si>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</si>
  <si>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</si>
  <si>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captura/cosecha acuícola (peces, moluscos, crustáceos, etc.) [cultivada] de los últimos 3 meses [o la última cosecha] con respecto al mismo periodo del año pasado?</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</si>
  <si>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</si>
  <si>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</si>
  <si>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</si>
  <si>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</si>
  <si>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</si>
  <si>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</si>
  <si>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</si>
  <si>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</si>
  <si>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</si>
  <si>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</si>
  <si>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</si>
  <si>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</si>
  <si>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select_multiple fishinput</t>
  </si>
  <si>
    <t>fish_inputdif</t>
  </si>
  <si>
    <t>Which fishing [culture] input material has your household had difficulties accessing in the last 3 months?</t>
  </si>
  <si>
    <t>¿Qué materiales/insumos para la pesca/acuicultura han presentado dificultades de acceso en los últimos 3 meses?</t>
  </si>
  <si>
    <t xml:space="preserve">[ENCUESTADOR/A: ES POSIBLE SELECCIONAR MÚLTIPLES RESPUESTAS.] </t>
  </si>
  <si>
    <t>${fish_proddif} = '1' and selected(${fish_proddif_}, 'input_access')</t>
  </si>
  <si>
    <t>fish_inputdif_otherspecify</t>
  </si>
  <si>
    <t>Si otro, especifique</t>
  </si>
  <si>
    <t>${fish_inputdif} =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</si>
  <si>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</si>
  <si>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</si>
  <si>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</si>
  <si>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</si>
  <si>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</si>
  <si>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</si>
  <si>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</si>
  <si>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</si>
  <si>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</si>
  <si>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</si>
  <si>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</si>
  <si>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</si>
  <si>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</si>
  <si>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</si>
  <si>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</si>
  <si>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</si>
  <si>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</si>
  <si>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</si>
  <si>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</si>
  <si>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</si>
  <si>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</si>
  <si>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</si>
  <si>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</si>
  <si>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</si>
  <si>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</si>
  <si>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¿Cómo se compara el precio actual de ${fishsalesmain} vendido por su hogar, con respecto con el precio promedio para el mismo periodo/cosecha de el año pasado?</t>
  </si>
  <si>
    <t>credit_group</t>
  </si>
  <si>
    <t>CREDIT FOR AGRICULTURAL ACTIVITIES</t>
  </si>
  <si>
    <t>Préstamo o crédito para producción agropecuaria, pesquera/acuícola</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</si>
  <si>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</si>
  <si>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select_one credit</t>
  </si>
  <si>
    <t>o_credit</t>
  </si>
  <si>
    <t>This year, are you paying or have you paid any credit or loan that you made to support the household's agricultural activities (agriculture, livestock, fishing/aquaculture)?</t>
  </si>
  <si>
    <t>En este año, ¿Estan pagando o han pagado algún crédito o préstamo que hicieron para apoyar las actividades agropecuarias del hogar (agricultura, ganadería, pesca/acuicultura)?</t>
  </si>
  <si>
    <t>o_creditdate</t>
  </si>
  <si>
    <t>On what date (month/year) did you make the credit or loan?</t>
  </si>
  <si>
    <t>¿En que fecha (mes/año) hicieron el crédito o préstamo?</t>
  </si>
  <si>
    <t>${o_credit} = '1' or {o_credit} = '2'</t>
  </si>
  <si>
    <t>o_creditenddate</t>
  </si>
  <si>
    <t>On what date did you finish paying the credit or loan?</t>
  </si>
  <si>
    <t>¿En que fecha terminaron de pagar el crédito o prestamo?</t>
  </si>
  <si>
    <t>${o_credit} = '2'</t>
  </si>
  <si>
    <t>o_credit_willenddate</t>
  </si>
  <si>
    <t>On what date do you plan to finish paying the credit or loan?</t>
  </si>
  <si>
    <t>¿En que fecha planean terminar de pagar el crédito o prestamo?</t>
  </si>
  <si>
    <t>${o_credit} = '1'</t>
  </si>
  <si>
    <t>select_multiple creditdestination</t>
  </si>
  <si>
    <t>o_creditdestination</t>
  </si>
  <si>
    <t>What was the agricultural activity for which the credit or loan was allocated?</t>
  </si>
  <si>
    <t>¿Cuál fue la actividad agropecuaria a la que destinaron el crédito o préstamo?</t>
  </si>
  <si>
    <t>o_creditdestinationOS</t>
  </si>
  <si>
    <t>${o_creditdestination} = '4'</t>
  </si>
  <si>
    <t>select_multiple creditwhere</t>
  </si>
  <si>
    <t>o_creditwhere</t>
  </si>
  <si>
    <t>Where was the credit or loan granted?</t>
  </si>
  <si>
    <t>¿Dónde le otorgaron el crédito o préstamo?</t>
  </si>
  <si>
    <t>o_creditwhereOS</t>
  </si>
  <si>
    <t>${o_creditwhere} = '6'</t>
  </si>
  <si>
    <t>Reserves_group</t>
  </si>
  <si>
    <t>Maize and bean reserves</t>
  </si>
  <si>
    <t>Reservas de maíz y frijol</t>
  </si>
  <si>
    <t>select_one reserves</t>
  </si>
  <si>
    <t>o_reserves_corn</t>
  </si>
  <si>
    <t>This year, do you have or have you had reserves of maize for home consumption?</t>
  </si>
  <si>
    <t>En este año, ¿Tiene o ha tenido reservas de maíz para consumo en el hogar?</t>
  </si>
  <si>
    <t>select_multiple reserves_origin</t>
  </si>
  <si>
    <t>o_reserves_cornorigin</t>
  </si>
  <si>
    <t>What is the origin of the maize reserves that you have or have had this year?</t>
  </si>
  <si>
    <t>¿Cuál es la procedencia de las reservas de maíz que tiene o ha tenido en este año?</t>
  </si>
  <si>
    <t>${o_reserves_corn} = '2' or {o_reserves_corn} = '3'</t>
  </si>
  <si>
    <t>o_reserves_cornoriginOS</t>
  </si>
  <si>
    <t>${o_reserves_cornorigin} = '5'</t>
  </si>
  <si>
    <t>o_reserves_corn_end</t>
  </si>
  <si>
    <t>On what date did your maize reserve for home consumption end this year?</t>
  </si>
  <si>
    <t>¿En que fecha se le terminó la reserva del maíz para consumo en el hogar en este año?</t>
  </si>
  <si>
    <t>${o_reserves_corn} = '3'</t>
  </si>
  <si>
    <t>select_one reserveslast</t>
  </si>
  <si>
    <t>o_reserves_cornlast</t>
  </si>
  <si>
    <t>How many months can the reserve of maize you have for home consumption last?</t>
  </si>
  <si>
    <t>¿Para cuántos meses le dura la reserva de maíz que tiene para consumo en el hogar?</t>
  </si>
  <si>
    <t>${o_reserves_corn} = '2'</t>
  </si>
  <si>
    <t>o_reserves_been</t>
  </si>
  <si>
    <t>This year, do you have or have you had reserves of bean for home consumption?</t>
  </si>
  <si>
    <t>En este año, ¿Tiene o ha tenido reservas de frijol para consumo en el hogar?</t>
  </si>
  <si>
    <t>o_reserves_beenorigin</t>
  </si>
  <si>
    <t>What is the origin of the bean reserves that you have or have had this year?</t>
  </si>
  <si>
    <t>¿Cuál es procedencia de las reservas de frijol que tiene o ha tenido en este año?</t>
  </si>
  <si>
    <t>${o_reserves_corn} = '2' or {o_reserves_been} = '3'</t>
  </si>
  <si>
    <t>o_reserves_beenoriginOS</t>
  </si>
  <si>
    <t>${o_reserves_beenorigin} = '5'</t>
  </si>
  <si>
    <t>o_reserves_been_end</t>
  </si>
  <si>
    <t>On what date did your bean reserve for home consumption end this year?</t>
  </si>
  <si>
    <t>¿En que fecha se le terminó la reserva del frijol para consumo en el hogar en este año?</t>
  </si>
  <si>
    <t>${o_reserves_been} = '3'</t>
  </si>
  <si>
    <t>o_reserves_beenlast</t>
  </si>
  <si>
    <t>How many months can the reserve of bean you have for home consumption last?</t>
  </si>
  <si>
    <t>¿Para cuántos meses le dura la reserva de frijol que tiene para consumo en el hogar?</t>
  </si>
  <si>
    <t>${o_reserves_been} = '2'</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</si>
  <si>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</si>
  <si>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</si>
  <si>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</si>
  <si>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</si>
  <si>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</si>
  <si>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</si>
  <si>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</si>
  <si>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</si>
  <si>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</si>
  <si>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</si>
  <si>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</si>
  <si>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</si>
  <si>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</si>
  <si>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</si>
  <si>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</si>
  <si>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</si>
  <si>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</si>
  <si>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</si>
  <si>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</si>
  <si>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</si>
  <si>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</si>
  <si>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</si>
  <si>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</si>
  <si>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</si>
  <si>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</si>
  <si>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</si>
  <si>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</si>
  <si>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</si>
  <si>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</si>
  <si>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</si>
  <si>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</si>
  <si>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</si>
  <si>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</si>
  <si>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</si>
  <si>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</si>
  <si>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</si>
  <si>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</si>
  <si>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</si>
  <si>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</si>
  <si>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</si>
  <si>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</si>
  <si>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</si>
  <si>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</si>
  <si>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</si>
  <si>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</si>
  <si>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</si>
  <si>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</si>
  <si>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</si>
  <si>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</si>
  <si>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</si>
  <si>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</si>
  <si>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cs_stress_hh_assets</t>
  </si>
  <si>
    <t>**Sell household assets/goods** (radio, furniture, television, jewelry etc.)</t>
  </si>
  <si>
    <t>**Vender bienes / bienes domésticos** (radio, muebles, televisor, joyería, etc.)**</t>
  </si>
  <si>
    <t>cs_stress_spent_savings</t>
  </si>
  <si>
    <t>**Spend savings**</t>
  </si>
  <si>
    <t>**Gastar sus ahorros**</t>
  </si>
  <si>
    <t>cs_stress_credit</t>
  </si>
  <si>
    <t>**Purchase food on credit or borrowed food**</t>
  </si>
  <si>
    <t>**Comprar comida a crédito o adquirir comida prestada**</t>
  </si>
  <si>
    <t>cs_stress_borrowed_money</t>
  </si>
  <si>
    <t>**Borrow money**</t>
  </si>
  <si>
    <t>**Pedir prestado dinero**</t>
  </si>
  <si>
    <t>cs_crisis_sold_prod_assets</t>
  </si>
  <si>
    <t>**Sell productive assets or means of transport** (sewing machine, wheelbarrow, bicycle, car, etc.)</t>
  </si>
  <si>
    <t>**Vender activos productivos o medios de transporte (máquina de coser, carreta, bicicleta, automovil, etc)**</t>
  </si>
  <si>
    <t>cs_crisis_reduced_health_exp</t>
  </si>
  <si>
    <t>**Reduce expenses on health** (including drugs)</t>
  </si>
  <si>
    <t>**Reducir los gastos en salud (incluyendo medicamentos)**</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</si>
  <si>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</si>
  <si>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</si>
  <si>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</si>
  <si>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</si>
  <si>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</si>
  <si>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</si>
  <si>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cs_emergency_begged</t>
  </si>
  <si>
    <t>**Beg**</t>
  </si>
  <si>
    <t>**Mendigar**</t>
  </si>
  <si>
    <t>cs_emergency_risky</t>
  </si>
  <si>
    <t>**Participate in hazardous activities (Selling in risky places, scavenging in garbage dumps)**</t>
  </si>
  <si>
    <t>**Participar en actividades riesgosas (Vender en lugares riesgosos, pepenador en basureros)**</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</si>
  <si>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</si>
  <si>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</si>
  <si>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</si>
  <si>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</si>
  <si>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</si>
  <si>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</si>
  <si>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</si>
  <si>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</si>
  <si>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</si>
  <si>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</si>
  <si>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</si>
  <si>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</si>
  <si>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</si>
  <si>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</si>
  <si>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</si>
  <si>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</si>
  <si>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</si>
  <si>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</si>
  <si>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</si>
  <si>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</si>
  <si>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</si>
  <si>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</si>
  <si>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</si>
  <si>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</si>
  <si>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.&gt;= 0 and .&lt;=7</t>
  </si>
  <si>
    <t>The answer must be between 0 and 7 days</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</si>
  <si>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</si>
  <si>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</si>
  <si>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</si>
  <si>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</si>
  <si>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</si>
  <si>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</si>
  <si>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</si>
  <si>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</si>
  <si>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</si>
  <si>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</si>
  <si>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</si>
  <si>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</si>
  <si>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</si>
  <si>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</si>
  <si>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</si>
  <si>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</si>
  <si>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</si>
  <si>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</si>
  <si>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</si>
  <si>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</si>
  <si>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</si>
  <si>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</si>
  <si>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</si>
  <si>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</si>
  <si>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</si>
  <si>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</si>
  <si>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</si>
  <si>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</si>
  <si>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</si>
  <si>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</si>
  <si>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</si>
  <si>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</si>
  <si>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</si>
  <si>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</si>
  <si>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</si>
  <si>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</si>
  <si>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</si>
  <si>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</si>
  <si>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</si>
  <si>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</si>
  <si>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</si>
  <si>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</si>
  <si>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</si>
  <si>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</si>
  <si>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</si>
  <si>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</si>
  <si>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</si>
  <si>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</si>
  <si>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</si>
  <si>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</si>
  <si>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</si>
  <si>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</si>
  <si>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</si>
  <si>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</si>
  <si>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</si>
  <si>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</si>
  <si>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</si>
  <si>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</si>
  <si>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</si>
  <si>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yes - panel</t>
  </si>
  <si>
    <t>select_multiple time</t>
  </si>
  <si>
    <t>future_int_time</t>
  </si>
  <si>
    <t>For future interviews, at what time(s) can I call you?</t>
  </si>
  <si>
    <t>Para futuras entrevistas, ¿a qué hora(s) puedo llamarle?</t>
  </si>
  <si>
    <t>phone_number_personal</t>
  </si>
  <si>
    <t>What is your phone number?</t>
  </si>
  <si>
    <t>¿Cuál es su número de teléfono?</t>
  </si>
  <si>
    <t>numbers</t>
  </si>
  <si>
    <t>regex(.,’^[0-9]{8}$’)</t>
  </si>
  <si>
    <t>Please enter the telephone number in the correct format, e.g. 70******</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</si>
  <si>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</si>
  <si>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</si>
  <si>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</si>
  <si>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</si>
  <si>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</si>
  <si>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</si>
  <si>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</si>
  <si>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</si>
  <si>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</si>
  <si>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</si>
  <si>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</si>
  <si>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</si>
  <si>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</si>
  <si>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</si>
  <si>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</si>
  <si>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</si>
  <si>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</si>
  <si>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</si>
  <si>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</si>
  <si>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</si>
  <si>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</si>
  <si>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</si>
  <si>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</si>
  <si>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</si>
  <si>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</si>
  <si>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</si>
  <si>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</si>
  <si>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</si>
  <si>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</si>
  <si>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</si>
  <si>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</si>
  <si>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</si>
  <si>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</si>
  <si>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</si>
  <si>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</si>
  <si>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Código de colores</t>
  </si>
  <si>
    <t>Reubicar preguntas al final del cuestionario (podría ser después de la pregunta future_int_time</t>
  </si>
  <si>
    <t>Pregunta nueva</t>
  </si>
  <si>
    <t>Sugerencia de redacción o condicionamiento para la pregunta</t>
  </si>
  <si>
    <t xml:space="preserve">AVERAGE ESTIMATED DURATION </t>
  </si>
  <si>
    <t>Eliminar pregunta</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</si>
  <si>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</si>
  <si>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</si>
  <si>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</si>
  <si>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</si>
  <si>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</si>
  <si>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</si>
  <si>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</si>
  <si>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</si>
  <si>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</si>
  <si>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</si>
  <si>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</si>
  <si>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</si>
  <si>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</si>
  <si>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</si>
  <si>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</si>
  <si>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</si>
  <si>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</si>
  <si>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</si>
  <si>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</si>
  <si>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</si>
  <si>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</si>
  <si>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</si>
  <si>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</si>
  <si>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</si>
  <si>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</si>
  <si>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</si>
  <si>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</si>
  <si>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</si>
  <si>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</si>
  <si>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</si>
  <si>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</si>
  <si>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</si>
  <si>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</si>
  <si>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</si>
  <si>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</si>
  <si>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</si>
  <si>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</si>
  <si>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</si>
  <si>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</si>
  <si>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</si>
  <si>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</si>
  <si>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</si>
  <si>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</si>
  <si>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</si>
  <si>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</si>
  <si>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</si>
  <si>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</si>
  <si>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</si>
  <si>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</si>
  <si>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</si>
  <si>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</si>
  <si>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</si>
  <si>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</si>
  <si>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</si>
  <si>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</si>
  <si>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</si>
  <si>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</si>
  <si>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</si>
  <si>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</si>
  <si>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</si>
  <si>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</si>
  <si>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</si>
  <si>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</si>
  <si>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</si>
  <si>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</si>
  <si>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</si>
  <si>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</si>
  <si>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</si>
  <si>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</si>
  <si>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</si>
  <si>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</si>
  <si>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</si>
  <si>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</si>
  <si>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</si>
  <si>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</si>
  <si>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</si>
  <si>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</si>
  <si>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</si>
  <si>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</si>
  <si>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</si>
  <si>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</si>
  <si>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</si>
  <si>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</si>
  <si>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</si>
  <si>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</si>
  <si>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</si>
  <si>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</si>
  <si>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</si>
  <si>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</si>
  <si>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</si>
  <si>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</si>
  <si>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</si>
  <si>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</si>
  <si>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</si>
  <si>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</si>
  <si>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</si>
  <si>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</si>
  <si>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</si>
  <si>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</si>
  <si>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</si>
  <si>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</si>
  <si>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</si>
  <si>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</si>
  <si>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</si>
  <si>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</si>
  <si>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</si>
  <si>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</si>
  <si>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</si>
  <si>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</si>
  <si>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</si>
  <si>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</si>
  <si>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</si>
  <si>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</si>
  <si>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</si>
  <si>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</si>
  <si>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</si>
  <si>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</si>
  <si>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</si>
  <si>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</si>
  <si>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</si>
  <si>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</si>
  <si>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</si>
  <si>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</si>
  <si>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</si>
  <si>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</si>
  <si>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</si>
  <si>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</si>
  <si>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</si>
  <si>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</si>
  <si>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</si>
  <si>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</si>
  <si>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</si>
  <si>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</si>
  <si>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</si>
  <si>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</si>
  <si>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</si>
  <si>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</si>
  <si>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</si>
  <si>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</si>
  <si>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</si>
  <si>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</si>
  <si>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</si>
  <si>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</si>
  <si>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</si>
  <si>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</si>
  <si>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</si>
  <si>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</si>
  <si>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</si>
  <si>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</si>
  <si>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</si>
  <si>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</si>
  <si>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</si>
  <si>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</si>
  <si>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</si>
  <si>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</si>
  <si>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</si>
  <si>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</si>
  <si>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</si>
  <si>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</si>
  <si>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</si>
  <si>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</si>
  <si>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</si>
  <si>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</si>
  <si>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</si>
  <si>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</si>
  <si>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</si>
  <si>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</si>
  <si>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</si>
  <si>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</si>
  <si>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</si>
  <si>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</si>
  <si>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</si>
  <si>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</si>
  <si>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</si>
  <si>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</si>
  <si>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</si>
  <si>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</si>
  <si>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</si>
  <si>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</si>
  <si>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</si>
  <si>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</si>
  <si>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</si>
  <si>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</si>
  <si>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</si>
  <si>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</si>
  <si>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</si>
  <si>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</si>
  <si>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</si>
  <si>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</si>
  <si>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</si>
  <si>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</si>
  <si>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</si>
  <si>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</si>
  <si>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</si>
  <si>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</si>
  <si>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</si>
  <si>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</si>
  <si>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</si>
  <si>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</si>
  <si>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</si>
  <si>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</si>
  <si>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</si>
  <si>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</si>
  <si>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</si>
  <si>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</si>
  <si>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</si>
  <si>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</si>
  <si>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</si>
  <si>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</si>
  <si>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</si>
  <si>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</si>
  <si>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</si>
  <si>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</si>
  <si>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</si>
  <si>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</si>
  <si>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</si>
  <si>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</si>
  <si>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</si>
  <si>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</si>
  <si>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</si>
  <si>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</si>
  <si>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</si>
  <si>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</si>
  <si>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</si>
  <si>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</si>
  <si>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</si>
  <si>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</si>
  <si>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</si>
  <si>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</si>
  <si>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</si>
  <si>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</si>
  <si>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</si>
  <si>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</si>
  <si>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</si>
  <si>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</si>
  <si>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</si>
  <si>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</si>
  <si>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</si>
  <si>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</si>
  <si>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</si>
  <si>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</si>
  <si>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</si>
  <si>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</si>
  <si>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</si>
  <si>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</si>
  <si>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</si>
  <si>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</si>
  <si>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</si>
  <si>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</si>
  <si>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</si>
  <si>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</si>
  <si>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</si>
  <si>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</si>
  <si>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</si>
  <si>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</si>
  <si>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</si>
  <si>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</si>
  <si>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</si>
  <si>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</si>
  <si>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</si>
  <si>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</si>
  <si>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</si>
  <si>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</si>
  <si>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</si>
  <si>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</si>
  <si>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</si>
  <si>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</si>
  <si>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</si>
  <si>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</si>
  <si>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</si>
  <si>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</si>
  <si>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</si>
  <si>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</si>
  <si>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</si>
  <si>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</si>
  <si>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</si>
  <si>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</si>
  <si>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</si>
  <si>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</si>
  <si>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</si>
  <si>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</si>
  <si>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</si>
  <si>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</si>
  <si>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</si>
  <si>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</si>
  <si>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</si>
  <si>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</si>
  <si>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</si>
  <si>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</si>
  <si>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</si>
  <si>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</si>
  <si>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</si>
  <si>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</si>
  <si>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</si>
  <si>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</si>
  <si>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</si>
  <si>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</si>
  <si>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</si>
  <si>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</si>
  <si>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</si>
  <si>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</si>
  <si>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</si>
  <si>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</si>
  <si>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</si>
  <si>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</si>
  <si>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</si>
  <si>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</si>
  <si>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</si>
  <si>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</si>
  <si>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</si>
  <si>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</si>
  <si>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</si>
  <si>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</si>
  <si>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</si>
  <si>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</si>
  <si>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</si>
  <si>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</si>
  <si>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</si>
  <si>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</si>
  <si>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</si>
  <si>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</si>
  <si>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</si>
  <si>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</si>
  <si>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</si>
  <si>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</si>
  <si>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</si>
  <si>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</si>
  <si>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</si>
  <si>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</si>
  <si>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</si>
  <si>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</si>
  <si>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</si>
  <si>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</si>
  <si>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</si>
  <si>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</si>
  <si>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</si>
  <si>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</si>
  <si>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</si>
  <si>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</si>
  <si>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</si>
  <si>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</si>
  <si>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</si>
  <si>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</si>
  <si>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</si>
  <si>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</si>
  <si>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</si>
  <si>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</si>
  <si>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</si>
  <si>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</si>
  <si>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</si>
  <si>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</si>
  <si>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</si>
  <si>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</si>
  <si>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</si>
  <si>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</si>
  <si>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</si>
  <si>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</si>
  <si>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</si>
  <si>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</si>
  <si>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</si>
  <si>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</si>
  <si>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</si>
  <si>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</si>
  <si>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</si>
  <si>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</si>
  <si>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</si>
  <si>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</si>
  <si>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</si>
  <si>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</si>
  <si>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</si>
  <si>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</si>
  <si>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</si>
  <si>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</si>
  <si>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</si>
  <si>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</si>
  <si>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#local measurement unit#</t>
  </si>
  <si>
    <t>#local measurement unit ES#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</si>
  <si>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</si>
  <si>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</si>
  <si>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</si>
  <si>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</si>
  <si>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</si>
  <si>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</si>
  <si>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</si>
  <si>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</si>
  <si>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</si>
  <si>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</si>
  <si>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</si>
  <si>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</si>
  <si>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</si>
  <si>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</si>
  <si>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</si>
  <si>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</si>
  <si>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</si>
  <si>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</si>
  <si>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</si>
  <si>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</si>
  <si>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</si>
  <si>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</si>
  <si>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</si>
  <si>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</si>
  <si>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</si>
  <si>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</si>
  <si>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</si>
  <si>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</si>
  <si>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</si>
  <si>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</si>
  <si>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</si>
  <si>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</si>
  <si>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</si>
  <si>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</si>
  <si>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</si>
  <si>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</si>
  <si>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</si>
  <si>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</si>
  <si>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</si>
  <si>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</si>
  <si>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</si>
  <si>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</si>
  <si>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</si>
  <si>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</si>
  <si>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</si>
  <si>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</si>
  <si>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</si>
  <si>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</si>
  <si>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</si>
  <si>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</si>
  <si>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</si>
  <si>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</si>
  <si>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</si>
  <si>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</si>
  <si>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</si>
  <si>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</si>
  <si>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</si>
  <si>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</si>
  <si>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</si>
  <si>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</si>
  <si>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</si>
  <si>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</si>
  <si>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</si>
  <si>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</si>
  <si>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</si>
  <si>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</si>
  <si>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</si>
  <si>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</si>
  <si>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</si>
  <si>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</si>
  <si>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Quintales (1 QQ=100 Kgs=220.5 libras)</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</si>
  <si>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</si>
  <si>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</si>
  <si>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</si>
  <si>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</si>
  <si>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</si>
  <si>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</si>
  <si>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</si>
  <si>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</si>
  <si>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</si>
  <si>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</si>
  <si>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</si>
  <si>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</si>
  <si>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</si>
  <si>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</si>
  <si>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</si>
  <si>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</si>
  <si>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</si>
  <si>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</si>
  <si>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</si>
  <si>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</si>
  <si>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</si>
  <si>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</si>
  <si>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</si>
  <si>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</si>
  <si>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</si>
  <si>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</si>
  <si>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</si>
  <si>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</si>
  <si>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</si>
  <si>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</si>
  <si>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</si>
  <si>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</si>
  <si>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</si>
  <si>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</si>
  <si>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</si>
  <si>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</si>
  <si>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</si>
  <si>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</si>
  <si>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</si>
  <si>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</si>
  <si>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</si>
  <si>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</si>
  <si>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</si>
  <si>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</si>
  <si>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</si>
  <si>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</si>
  <si>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</si>
  <si>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</si>
  <si>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</si>
  <si>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</si>
  <si>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</si>
  <si>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</si>
  <si>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</si>
  <si>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</si>
  <si>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</si>
  <si>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</si>
  <si>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</si>
  <si>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</si>
  <si>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</si>
  <si>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</si>
  <si>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</si>
  <si>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</si>
  <si>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</si>
  <si>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</si>
  <si>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</si>
  <si>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</si>
  <si>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</si>
  <si>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</si>
  <si>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</si>
  <si>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</si>
  <si>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</si>
  <si>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</si>
  <si>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</si>
  <si>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</si>
  <si>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</si>
  <si>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</si>
  <si>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</si>
  <si>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</si>
  <si>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</si>
  <si>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</si>
  <si>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</si>
  <si>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</si>
  <si>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</si>
  <si>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</si>
  <si>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</si>
  <si>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</si>
  <si>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</si>
  <si>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</si>
  <si>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</si>
  <si>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</si>
  <si>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</si>
  <si>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</si>
  <si>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</si>
  <si>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</si>
  <si>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</si>
  <si>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</si>
  <si>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</si>
  <si>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</si>
  <si>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</si>
  <si>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</si>
  <si>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</si>
  <si>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</si>
  <si>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</si>
  <si>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</si>
  <si>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</si>
  <si>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</si>
  <si>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</si>
  <si>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</si>
  <si>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</si>
  <si>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</si>
  <si>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</si>
  <si>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</si>
  <si>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</si>
  <si>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</si>
  <si>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</si>
  <si>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</si>
  <si>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</si>
  <si>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</si>
  <si>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</si>
  <si>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</si>
  <si>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</si>
  <si>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</si>
  <si>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</si>
  <si>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</si>
  <si>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</si>
  <si>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</si>
  <si>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</si>
  <si>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</si>
  <si>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</si>
  <si>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</si>
  <si>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</si>
  <si>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</si>
  <si>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</si>
  <si>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</si>
  <si>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</si>
  <si>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</si>
  <si>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</si>
  <si>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</si>
  <si>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</si>
  <si>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</si>
  <si>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</si>
  <si>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</si>
  <si>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</si>
  <si>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</si>
  <si>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</si>
  <si>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</si>
  <si>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</si>
  <si>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</si>
  <si>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</si>
  <si>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</si>
  <si>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</si>
  <si>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</si>
  <si>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</si>
  <si>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</si>
  <si>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</si>
  <si>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</si>
  <si>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</si>
  <si>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</si>
  <si>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</si>
  <si>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</si>
  <si>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</si>
  <si>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</si>
  <si>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</si>
  <si>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</si>
  <si>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</si>
  <si>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</si>
  <si>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</si>
  <si>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</si>
  <si>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</si>
  <si>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</si>
  <si>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</si>
  <si>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</si>
  <si>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</si>
  <si>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</si>
  <si>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</si>
  <si>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</si>
  <si>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</si>
  <si>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</si>
  <si>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</si>
  <si>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</si>
  <si>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</si>
  <si>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</si>
  <si>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</si>
  <si>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</si>
  <si>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</si>
  <si>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</si>
  <si>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</si>
  <si>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</si>
  <si>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</si>
  <si>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</si>
  <si>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</si>
  <si>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</si>
  <si>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</si>
  <si>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</si>
  <si>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</si>
  <si>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</si>
  <si>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</si>
  <si>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</si>
  <si>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</si>
  <si>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</si>
  <si>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</si>
  <si>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</si>
  <si>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</si>
  <si>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</si>
  <si>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</si>
  <si>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</si>
  <si>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</si>
  <si>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</si>
  <si>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</si>
  <si>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</si>
  <si>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</si>
  <si>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</si>
  <si>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</si>
  <si>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</si>
  <si>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</si>
  <si>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</si>
  <si>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</si>
  <si>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</si>
  <si>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</si>
  <si>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</si>
  <si>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</si>
  <si>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</si>
  <si>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</si>
  <si>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</si>
  <si>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</si>
  <si>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</si>
  <si>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</si>
  <si>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</si>
  <si>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</si>
  <si>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</si>
  <si>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</si>
  <si>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</si>
  <si>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</si>
  <si>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</si>
  <si>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</si>
  <si>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</si>
  <si>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</si>
  <si>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</si>
  <si>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</si>
  <si>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</si>
  <si>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</si>
  <si>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</si>
  <si>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</si>
  <si>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</si>
  <si>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</si>
  <si>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</si>
  <si>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</si>
  <si>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</si>
  <si>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</si>
  <si>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</si>
  <si>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</si>
  <si>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</si>
  <si>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</si>
  <si>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</si>
  <si>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</si>
  <si>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</si>
  <si>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</si>
  <si>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</si>
  <si>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</si>
  <si>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</si>
  <si>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</si>
  <si>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</si>
  <si>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</si>
  <si>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</si>
  <si>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</si>
  <si>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</si>
  <si>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</si>
  <si>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</si>
  <si>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</si>
  <si>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</si>
  <si>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</si>
  <si>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</si>
  <si>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</si>
  <si>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</si>
  <si>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</si>
  <si>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</si>
  <si>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</si>
  <si>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</si>
  <si>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</si>
  <si>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</si>
  <si>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</si>
  <si>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</si>
  <si>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</si>
  <si>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</si>
  <si>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</si>
  <si>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</si>
  <si>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</si>
  <si>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</si>
  <si>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</si>
  <si>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</si>
  <si>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</si>
  <si>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</si>
  <si>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</si>
  <si>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</si>
  <si>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</si>
  <si>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</si>
  <si>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</si>
  <si>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</si>
  <si>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</si>
  <si>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</si>
  <si>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</si>
  <si>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</si>
  <si>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</si>
  <si>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</si>
  <si>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</si>
  <si>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</si>
  <si>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</si>
  <si>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</si>
  <si>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</si>
  <si>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</si>
  <si>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</si>
  <si>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</si>
  <si>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</si>
  <si>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</si>
  <si>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</si>
  <si>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</si>
  <si>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</si>
  <si>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</si>
  <si>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</si>
  <si>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</si>
  <si>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</si>
  <si>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</si>
  <si>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</si>
  <si>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</si>
  <si>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</si>
  <si>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</si>
  <si>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</si>
  <si>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</si>
  <si>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</si>
  <si>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</si>
  <si>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</si>
  <si>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</si>
  <si>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</si>
  <si>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</si>
  <si>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</si>
  <si>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</si>
  <si>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</si>
  <si>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</si>
  <si>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</si>
  <si>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</si>
  <si>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</si>
  <si>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</si>
  <si>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</si>
  <si>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</si>
  <si>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</si>
  <si>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</si>
  <si>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</si>
  <si>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</si>
  <si>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</si>
  <si>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</si>
  <si>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</si>
  <si>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</si>
  <si>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</si>
  <si>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</si>
  <si>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</si>
  <si>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</si>
  <si>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</si>
  <si>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</si>
  <si>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</si>
  <si>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</si>
  <si>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</si>
  <si>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</si>
  <si>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</si>
  <si>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</si>
  <si>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</si>
  <si>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</si>
  <si>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</si>
  <si>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</si>
  <si>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</si>
  <si>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</si>
  <si>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</si>
  <si>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</si>
  <si>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</si>
  <si>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</si>
  <si>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</si>
  <si>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</si>
  <si>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</si>
  <si>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</si>
  <si>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</si>
  <si>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</si>
  <si>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</si>
  <si>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</si>
  <si>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</si>
  <si>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</si>
  <si>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</si>
  <si>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</si>
  <si>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</si>
  <si>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</si>
  <si>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</si>
  <si>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</si>
  <si>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</si>
  <si>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</si>
  <si>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</si>
  <si>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</si>
  <si>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</si>
  <si>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</si>
  <si>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</si>
  <si>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</si>
  <si>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</si>
  <si>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</si>
  <si>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</si>
  <si>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</si>
  <si>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</si>
  <si>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</si>
  <si>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</si>
  <si>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</si>
  <si>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</si>
  <si>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</si>
  <si>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</si>
  <si>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</si>
  <si>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</si>
  <si>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</si>
  <si>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</si>
  <si>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</si>
  <si>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</si>
  <si>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</si>
  <si>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</si>
  <si>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</si>
  <si>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</si>
  <si>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</si>
  <si>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</si>
  <si>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</si>
  <si>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</si>
  <si>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</si>
  <si>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</si>
  <si>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</si>
  <si>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</si>
  <si>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</si>
  <si>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</si>
  <si>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</si>
  <si>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</si>
  <si>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</si>
  <si>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</si>
  <si>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</si>
  <si>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</si>
  <si>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</si>
  <si>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</si>
  <si>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</si>
  <si>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</si>
  <si>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</si>
  <si>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</si>
  <si>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</si>
  <si>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</si>
  <si>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</si>
  <si>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</si>
  <si>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</si>
  <si>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</si>
  <si>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</si>
  <si>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</si>
  <si>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migration</t>
  </si>
  <si>
    <t>SI, Estados Unidos o Europa</t>
  </si>
  <si>
    <t>SI, a otro país o región</t>
  </si>
  <si>
    <t>migrationgender</t>
  </si>
  <si>
    <t>1 persona, masculino</t>
  </si>
  <si>
    <t>1 persona, femenino</t>
  </si>
  <si>
    <t>2 personas, masculino</t>
  </si>
  <si>
    <t>2 personas, femenino</t>
  </si>
  <si>
    <t>No sabe</t>
  </si>
  <si>
    <t>No responde</t>
  </si>
  <si>
    <t>remittancesfreq</t>
  </si>
  <si>
    <t>Quincenal</t>
  </si>
  <si>
    <t>Mensual</t>
  </si>
  <si>
    <t>Cada 6 meses</t>
  </si>
  <si>
    <t>Eventualmente</t>
  </si>
  <si>
    <t>remittancesuse</t>
  </si>
  <si>
    <t>Gastos del hogar (alquiler, servicios básicos, construcción, Etc.)</t>
  </si>
  <si>
    <t>Alimentación</t>
  </si>
  <si>
    <t>Educación</t>
  </si>
  <si>
    <t>Salud</t>
  </si>
  <si>
    <t>Vestuario</t>
  </si>
  <si>
    <t>Inversión (negocio propio, producción agrícola, gandera o pesquera/acuícola)</t>
  </si>
  <si>
    <t>Entretenimiento</t>
  </si>
  <si>
    <t>Compra de granos para almacenar como reserva (ej.: maíz, frijol)</t>
  </si>
  <si>
    <t>Otro. Especifique</t>
  </si>
  <si>
    <t>landtenure</t>
  </si>
  <si>
    <t>Own</t>
  </si>
  <si>
    <t>Propio</t>
  </si>
  <si>
    <t>Lent</t>
  </si>
  <si>
    <t>Prestado</t>
  </si>
  <si>
    <t>Rented</t>
  </si>
  <si>
    <t>Alquilado</t>
  </si>
  <si>
    <t>area_changewhy</t>
  </si>
  <si>
    <t>Incertidumbre con la temporada de lluvia</t>
  </si>
  <si>
    <t>Falta de liquidez (para alquilar más terreno, compra de insumos, pagar mano de obra, etc)</t>
  </si>
  <si>
    <t>Falta de mano de obra</t>
  </si>
  <si>
    <t>No Responde</t>
  </si>
  <si>
    <t>crp_plantxyear</t>
  </si>
  <si>
    <t>Época de primera</t>
  </si>
  <si>
    <t>Época de postrera</t>
  </si>
  <si>
    <t>Época de apante</t>
  </si>
  <si>
    <t>crp_plant1</t>
  </si>
  <si>
    <t>Mayo, semana 1</t>
  </si>
  <si>
    <t>Mayo, semana 2</t>
  </si>
  <si>
    <t>Mayo, semana 3</t>
  </si>
  <si>
    <t>Mayo, semana 4</t>
  </si>
  <si>
    <t>Junio, semana 1</t>
  </si>
  <si>
    <t>Junio, semana 2</t>
  </si>
  <si>
    <t>Junio, semana 3</t>
  </si>
  <si>
    <t>Junio, semana 4</t>
  </si>
  <si>
    <t>crp_plant2</t>
  </si>
  <si>
    <t>Agosto, semana 1</t>
  </si>
  <si>
    <t>Agosto, semana 2</t>
  </si>
  <si>
    <t>Agosto, semana 3</t>
  </si>
  <si>
    <t>Agosto, semana 4</t>
  </si>
  <si>
    <t>Sepriembre, semana 1</t>
  </si>
  <si>
    <t>Sepriembre, semana 2</t>
  </si>
  <si>
    <t>Sepriembre, semana 3</t>
  </si>
  <si>
    <t>Sepriembre, semana 4</t>
  </si>
  <si>
    <t>crp_plant3</t>
  </si>
  <si>
    <t>Diciembre, semana 1</t>
  </si>
  <si>
    <t>Diciembre, semana 2</t>
  </si>
  <si>
    <t>Diciembre, semana 3</t>
  </si>
  <si>
    <t>Diciembre, semana 4</t>
  </si>
  <si>
    <t>Enero, semana 1</t>
  </si>
  <si>
    <t>Enero, semana 2</t>
  </si>
  <si>
    <t>Enero, semana 3</t>
  </si>
  <si>
    <t>Enero, semana 4</t>
  </si>
  <si>
    <t>plant_changewhy</t>
  </si>
  <si>
    <t>La temporada de lluvia comenzó mas tarde de lo habitual</t>
  </si>
  <si>
    <t>Falta de liquidez para preparación de terreno y compra de insumos</t>
  </si>
  <si>
    <t>Falta de acceso a maquinaria para preparación de terreno</t>
  </si>
  <si>
    <t>Falta de liquidez para pagar mano de obra</t>
  </si>
  <si>
    <t>Aprobación de crédito o préstamo tardía</t>
  </si>
  <si>
    <t>crplost</t>
  </si>
  <si>
    <t>Sin pérdida</t>
  </si>
  <si>
    <t>Un poco (&lt;25%)</t>
  </si>
  <si>
    <t>Una cantidad considerable, pero menos de la mitad</t>
  </si>
  <si>
    <t>La mitad (50%)</t>
  </si>
  <si>
    <t>Un poco más de la mitad (&gt;50-75%)</t>
  </si>
  <si>
    <t>Casi todo (&gt;75%)</t>
  </si>
  <si>
    <t>Todo (100%)</t>
  </si>
  <si>
    <t>crp_lostcauses</t>
  </si>
  <si>
    <t>Plagas</t>
  </si>
  <si>
    <t>Enfermedades</t>
  </si>
  <si>
    <t>Altas temperaturas, golpes de calor al cultivo</t>
  </si>
  <si>
    <t>Poca lluvia</t>
  </si>
  <si>
    <t>Animales de pastoreo</t>
  </si>
  <si>
    <t>beenporpose</t>
  </si>
  <si>
    <t>Venta</t>
  </si>
  <si>
    <t>Semilla</t>
  </si>
  <si>
    <t>Consumo en el hogar</t>
  </si>
  <si>
    <t>crp_harv</t>
  </si>
  <si>
    <t>Septiembre, semana 1</t>
  </si>
  <si>
    <t>Septiembre, semana 2</t>
  </si>
  <si>
    <t>Septiembre, semana 3</t>
  </si>
  <si>
    <t>Septiembre, semana 4</t>
  </si>
  <si>
    <t>harvdestination</t>
  </si>
  <si>
    <t>All for consumption</t>
  </si>
  <si>
    <t>Todo para autoconsumo</t>
  </si>
  <si>
    <t>Almost everything for own consumption (=&gt;75%)</t>
  </si>
  <si>
    <t>Casi todo autoconsumo (=&gt;75%)</t>
  </si>
  <si>
    <t>Mora than half own consumption (&gt;50%)</t>
  </si>
  <si>
    <t>Más de la mitad para autoconsumo (&gt;50%)</t>
  </si>
  <si>
    <t>Half own consumption (50%), half sold (50%)</t>
  </si>
  <si>
    <t>Mitad autoconsumo (50%), mitad comercialización (50%)</t>
  </si>
  <si>
    <t>More than half sold (between 50% and 75%)</t>
  </si>
  <si>
    <t>Mas de la mitad a comercializacion (&gt;50%)</t>
  </si>
  <si>
    <t>Almost everything sold (=&gt;75%)</t>
  </si>
  <si>
    <t>Casi todo a comercialización (=&gt;75%)</t>
  </si>
  <si>
    <t>Everything sold</t>
  </si>
  <si>
    <t>Todo para comercialización</t>
  </si>
  <si>
    <t>harvmarket</t>
  </si>
  <si>
    <t>Direct sales</t>
  </si>
  <si>
    <t>Venta directa</t>
  </si>
  <si>
    <t>Sales with intermediary</t>
  </si>
  <si>
    <t>Venta con intermediario</t>
  </si>
  <si>
    <t>Don't know</t>
  </si>
  <si>
    <t>Refused</t>
  </si>
  <si>
    <t>reserves</t>
  </si>
  <si>
    <t>Sí, tengo actualmente</t>
  </si>
  <si>
    <t>Sí tenia. Se terminaron recientemente</t>
  </si>
  <si>
    <t>reserves_origin</t>
  </si>
  <si>
    <t>Producción propia, cosecha del año pasado</t>
  </si>
  <si>
    <t>Producción propia, cosecha de primera 2023</t>
  </si>
  <si>
    <t>Producción propia, cosecha de postrera 2023</t>
  </si>
  <si>
    <t>Compra</t>
  </si>
  <si>
    <t>reserveslast</t>
  </si>
  <si>
    <t>1 a &lt; 3 meses</t>
  </si>
  <si>
    <t>3 a &lt; 6 meses</t>
  </si>
  <si>
    <t>6 meses o más</t>
  </si>
  <si>
    <t>credit</t>
  </si>
  <si>
    <t>Sí, se esta pagando actualmente</t>
  </si>
  <si>
    <t xml:space="preserve">Si tuvimos, se terminó de pagar recientemente </t>
  </si>
  <si>
    <t>creditdestination</t>
  </si>
  <si>
    <t>Actividad agrícola</t>
  </si>
  <si>
    <t>Actividad ganadera/crianza de animales</t>
  </si>
  <si>
    <t>Actividad pesquera/acuícola</t>
  </si>
  <si>
    <t>Otra, especifique</t>
  </si>
  <si>
    <t>creditwhere</t>
  </si>
  <si>
    <t>Bancos</t>
  </si>
  <si>
    <t>Cooperativas, sociedades de ahorro y crédito</t>
  </si>
  <si>
    <t>Familiar</t>
  </si>
  <si>
    <t>Amigo, conocido</t>
  </si>
  <si>
    <t xml:space="preserve">Prestamista, usurero </t>
  </si>
  <si>
    <t>crop</t>
  </si>
  <si>
    <t>1.1</t>
  </si>
  <si>
    <t>Rice</t>
  </si>
  <si>
    <t>Arroz</t>
  </si>
  <si>
    <t>1.4</t>
  </si>
  <si>
    <t>Sorghum</t>
  </si>
  <si>
    <t>Sorgo</t>
  </si>
  <si>
    <t>1.5</t>
  </si>
  <si>
    <t>Maize</t>
  </si>
  <si>
    <t>Maíz</t>
  </si>
  <si>
    <t>2.1</t>
  </si>
  <si>
    <t>Cassava</t>
  </si>
  <si>
    <t>Yuca</t>
  </si>
  <si>
    <t>3.1</t>
  </si>
  <si>
    <t>Beans</t>
  </si>
  <si>
    <t>Frijoles</t>
  </si>
  <si>
    <t>6.1</t>
  </si>
  <si>
    <t>Orange</t>
  </si>
  <si>
    <t>Naranja</t>
  </si>
  <si>
    <t>7.2</t>
  </si>
  <si>
    <t>Plantains</t>
  </si>
  <si>
    <t>Plátano</t>
  </si>
  <si>
    <t>8.1</t>
  </si>
  <si>
    <t>Coconuts</t>
  </si>
  <si>
    <t>Coco</t>
  </si>
  <si>
    <t>9.2</t>
  </si>
  <si>
    <t>Coffee</t>
  </si>
  <si>
    <t>Café</t>
  </si>
  <si>
    <t>9.4</t>
  </si>
  <si>
    <t>Sugarcane</t>
  </si>
  <si>
    <t>Caña de azúcar</t>
  </si>
  <si>
    <t>1.2</t>
  </si>
  <si>
    <t>Wheat</t>
  </si>
  <si>
    <t>Trigo</t>
  </si>
  <si>
    <t>1.3</t>
  </si>
  <si>
    <t>Millet</t>
  </si>
  <si>
    <t>Mijo</t>
  </si>
  <si>
    <t>1.6</t>
  </si>
  <si>
    <t>Barley</t>
  </si>
  <si>
    <t>Cebada</t>
  </si>
  <si>
    <t>1.99</t>
  </si>
  <si>
    <t>Other Cereal</t>
  </si>
  <si>
    <t>Otros cereales</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</si>
  <si>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</si>
  <si>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</si>
  <si>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</si>
  <si>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</si>
  <si>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</si>
  <si>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</si>
  <si>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</si>
  <si>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</si>
  <si>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</si>
  <si>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</si>
  <si>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</si>
  <si>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</si>
  <si>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</si>
  <si>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</si>
  <si>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</si>
  <si>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</si>
  <si>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</si>
  <si>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</si>
  <si>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</si>
  <si>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</si>
  <si>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</si>
  <si>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</si>
  <si>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</si>
  <si>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</si>
  <si>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</si>
  <si>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</si>
  <si>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</si>
  <si>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</si>
  <si>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</si>
  <si>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</si>
  <si>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</si>
  <si>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</si>
  <si>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</si>
  <si>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</si>
  <si>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</si>
  <si>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</si>
  <si>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</si>
  <si>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</si>
  <si>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</si>
  <si>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</si>
  <si>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</si>
  <si>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</si>
  <si>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</si>
  <si>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</si>
  <si>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</si>
  <si>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</si>
  <si>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</si>
  <si>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</si>
  <si>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</si>
  <si>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</si>
  <si>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</si>
  <si>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</si>
  <si>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</si>
  <si>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</si>
  <si>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</si>
  <si>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</si>
  <si>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</si>
  <si>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</si>
  <si>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</si>
  <si>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</si>
  <si>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</si>
  <si>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</si>
  <si>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</si>
  <si>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4.99</t>
  </si>
  <si>
    <t>Other leafy vegetables</t>
  </si>
  <si>
    <t>Otras verduras de hoja</t>
  </si>
  <si>
    <t>5.1</t>
  </si>
  <si>
    <t>Tomatoes</t>
  </si>
  <si>
    <t>Tomates</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</si>
  <si>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</si>
  <si>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</si>
  <si>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</si>
  <si>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</si>
  <si>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</si>
  <si>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</si>
  <si>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</si>
  <si>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</si>
  <si>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</si>
  <si>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</si>
  <si>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</si>
  <si>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</si>
  <si>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</si>
  <si>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</si>
  <si>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</si>
  <si>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</si>
  <si>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</si>
  <si>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</si>
  <si>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</si>
  <si>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</si>
  <si>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</si>
  <si>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</si>
  <si>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</si>
  <si>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</si>
  <si>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</si>
  <si>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</si>
  <si>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</si>
  <si>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</si>
  <si>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</si>
  <si>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5.99</t>
  </si>
  <si>
    <t>Other non leafy vegs</t>
  </si>
  <si>
    <t>Otras verduras</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</si>
  <si>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</si>
  <si>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</si>
  <si>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</si>
  <si>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</si>
  <si>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</si>
  <si>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</si>
  <si>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</si>
  <si>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</si>
  <si>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</si>
  <si>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</si>
  <si>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</si>
  <si>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</si>
  <si>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</si>
  <si>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</si>
  <si>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</si>
  <si>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</si>
  <si>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</si>
  <si>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</si>
  <si>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</si>
  <si>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</si>
  <si>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</si>
  <si>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</si>
  <si>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</si>
  <si>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</si>
  <si>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</si>
  <si>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</si>
  <si>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</si>
  <si>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</si>
  <si>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</si>
  <si>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</si>
  <si>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</si>
  <si>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</si>
  <si>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</si>
  <si>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</si>
  <si>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</si>
  <si>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</si>
  <si>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</si>
  <si>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</si>
  <si>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</si>
  <si>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</si>
  <si>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</si>
  <si>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</si>
  <si>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</si>
  <si>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</si>
  <si>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</si>
  <si>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</si>
  <si>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</si>
  <si>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</si>
  <si>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</si>
  <si>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</si>
  <si>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</si>
  <si>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</si>
  <si>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</si>
  <si>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</si>
  <si>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</si>
  <si>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</si>
  <si>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</si>
  <si>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</si>
  <si>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</si>
  <si>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</si>
  <si>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</si>
  <si>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</si>
  <si>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</si>
  <si>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</si>
  <si>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</si>
  <si>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</si>
  <si>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</si>
  <si>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</si>
  <si>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</si>
  <si>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</si>
  <si>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</si>
  <si>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</si>
  <si>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</si>
  <si>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</si>
  <si>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</si>
  <si>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</si>
  <si>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</si>
  <si>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</si>
  <si>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</si>
  <si>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</si>
  <si>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</si>
  <si>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</si>
  <si>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</si>
  <si>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</si>
  <si>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</si>
  <si>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</si>
  <si>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</si>
  <si>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</si>
  <si>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</si>
  <si>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</si>
  <si>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</si>
  <si>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</si>
  <si>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</si>
  <si>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</si>
  <si>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</si>
  <si>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</si>
  <si>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</si>
  <si>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</si>
  <si>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</si>
  <si>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</si>
  <si>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</si>
  <si>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</si>
  <si>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</si>
  <si>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</si>
  <si>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</si>
  <si>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</si>
  <si>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</si>
  <si>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</si>
  <si>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</si>
  <si>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</si>
  <si>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</si>
  <si>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</si>
  <si>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</si>
  <si>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</si>
  <si>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</si>
  <si>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</si>
  <si>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</si>
  <si>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</si>
  <si>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</si>
  <si>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</si>
  <si>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</si>
  <si>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</si>
  <si>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</si>
  <si>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</si>
  <si>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no sé</t>
  </si>
  <si>
    <t>999</t>
  </si>
  <si>
    <t>Rechazado</t>
  </si>
  <si>
    <t>crop2</t>
  </si>
  <si>
    <t>666</t>
  </si>
  <si>
    <t>No other crop</t>
  </si>
  <si>
    <t>Ningún otro cultivo</t>
  </si>
  <si>
    <t>crop3</t>
  </si>
  <si>
    <t>Departamento</t>
  </si>
  <si>
    <t>SV01</t>
  </si>
  <si>
    <t>Ahuachapán</t>
  </si>
  <si>
    <t>SV02</t>
  </si>
  <si>
    <t>Cabañas</t>
  </si>
  <si>
    <t>SV03</t>
  </si>
  <si>
    <t>Chalatenango</t>
  </si>
  <si>
    <t>SV04</t>
  </si>
  <si>
    <t>Cuscatlán</t>
  </si>
  <si>
    <t>SV05</t>
  </si>
  <si>
    <t>La Libertad</t>
  </si>
  <si>
    <t>SV06</t>
  </si>
  <si>
    <t>La Paz</t>
  </si>
  <si>
    <t>SV07</t>
  </si>
  <si>
    <t>La Unión</t>
  </si>
  <si>
    <t>SV08</t>
  </si>
  <si>
    <t>Morazán</t>
  </si>
  <si>
    <t>SV09</t>
  </si>
  <si>
    <t>San Miguel</t>
  </si>
  <si>
    <t>SV10</t>
  </si>
  <si>
    <t>San Salvador</t>
  </si>
  <si>
    <t>SV11</t>
  </si>
  <si>
    <t>San Vicente</t>
  </si>
  <si>
    <t>SV12</t>
  </si>
  <si>
    <t>Santa Ana</t>
  </si>
  <si>
    <t>SV13</t>
  </si>
  <si>
    <t>Sonsonate</t>
  </si>
  <si>
    <t>SV14</t>
  </si>
  <si>
    <t>Usulután</t>
  </si>
  <si>
    <t>Municipio</t>
  </si>
  <si>
    <t>SV0101</t>
  </si>
  <si>
    <t>SV0102</t>
  </si>
  <si>
    <t>Apaneca</t>
  </si>
  <si>
    <t>SV0103</t>
  </si>
  <si>
    <t>Atiquizaya</t>
  </si>
  <si>
    <t>SV0104</t>
  </si>
  <si>
    <t>Concepción de Ataco</t>
  </si>
  <si>
    <t>SV0105</t>
  </si>
  <si>
    <t>El Refugio</t>
  </si>
  <si>
    <t>SV0106</t>
  </si>
  <si>
    <t>Guaymango</t>
  </si>
  <si>
    <t>SV0107</t>
  </si>
  <si>
    <t>Jujutla</t>
  </si>
  <si>
    <t>SV0108</t>
  </si>
  <si>
    <t>San Francisco Menéndez</t>
  </si>
  <si>
    <t>SV0109</t>
  </si>
  <si>
    <t>San Lorenzo</t>
  </si>
  <si>
    <t>SV0110</t>
  </si>
  <si>
    <t>San Pedro Puxtla</t>
  </si>
  <si>
    <t>SV0111</t>
  </si>
  <si>
    <t>Tacuba</t>
  </si>
  <si>
    <t>SV0112</t>
  </si>
  <si>
    <t>Turín</t>
  </si>
  <si>
    <t>SV0201</t>
  </si>
  <si>
    <t>Cinquera</t>
  </si>
  <si>
    <t>SV0202</t>
  </si>
  <si>
    <t>Guacotecti</t>
  </si>
  <si>
    <t>SV0203</t>
  </si>
  <si>
    <t>Ilobasco</t>
  </si>
  <si>
    <t>SV0204</t>
  </si>
  <si>
    <t>Jutiapa</t>
  </si>
  <si>
    <t>SV0205</t>
  </si>
  <si>
    <t>San Isidro</t>
  </si>
  <si>
    <t>SV0206</t>
  </si>
  <si>
    <t>Sensuntepeque</t>
  </si>
  <si>
    <t>SV0207</t>
  </si>
  <si>
    <t>Tejutepeque</t>
  </si>
  <si>
    <t>SV0208</t>
  </si>
  <si>
    <t>Victoria</t>
  </si>
  <si>
    <t>SV0209</t>
  </si>
  <si>
    <t>Dolores</t>
  </si>
  <si>
    <t>SV0301</t>
  </si>
  <si>
    <t>Agua Caliente</t>
  </si>
  <si>
    <t>SV0302</t>
  </si>
  <si>
    <t>Arcatao</t>
  </si>
  <si>
    <t>SV0303</t>
  </si>
  <si>
    <t>Azacualpa</t>
  </si>
  <si>
    <t>SV0304</t>
  </si>
  <si>
    <t>Citalá</t>
  </si>
  <si>
    <t>SV0305</t>
  </si>
  <si>
    <t>Comalapa</t>
  </si>
  <si>
    <t>SV0306</t>
  </si>
  <si>
    <t>Concepción Quezaltepeque</t>
  </si>
  <si>
    <t>SV0307</t>
  </si>
  <si>
    <t>SV0308</t>
  </si>
  <si>
    <t>Dulce Nombre de María</t>
  </si>
  <si>
    <t>SV0309</t>
  </si>
  <si>
    <t>El Carrizal</t>
  </si>
  <si>
    <t>SV0310</t>
  </si>
  <si>
    <t>El Paraíso</t>
  </si>
  <si>
    <t>SV0311</t>
  </si>
  <si>
    <t>La Laguna</t>
  </si>
  <si>
    <t>SV0312</t>
  </si>
  <si>
    <t>La Palma</t>
  </si>
  <si>
    <t>SV0313</t>
  </si>
  <si>
    <t>La Reina</t>
  </si>
  <si>
    <t>SV0314</t>
  </si>
  <si>
    <t>Las Vueltas</t>
  </si>
  <si>
    <t>SV0315</t>
  </si>
  <si>
    <t>Nombre de Jesús</t>
  </si>
  <si>
    <t>SV0316</t>
  </si>
  <si>
    <t>Nueva Concepción</t>
  </si>
  <si>
    <t>SV0317</t>
  </si>
  <si>
    <t>Nueva Trinidad</t>
  </si>
  <si>
    <t>SV0318</t>
  </si>
  <si>
    <t>Ojos de Agua</t>
  </si>
  <si>
    <t>SV0319</t>
  </si>
  <si>
    <t>Potonico</t>
  </si>
  <si>
    <t>SV0320</t>
  </si>
  <si>
    <t>San Antonio de la Cruz</t>
  </si>
  <si>
    <t>SV0321</t>
  </si>
  <si>
    <t>San Antonio Los Ranchos</t>
  </si>
  <si>
    <t>SV0322</t>
  </si>
  <si>
    <t>San Fernando</t>
  </si>
  <si>
    <t>SV0323</t>
  </si>
  <si>
    <t>San Francisco Lempa</t>
  </si>
  <si>
    <t>SV0324</t>
  </si>
  <si>
    <t>San Francisco Morazán</t>
  </si>
  <si>
    <t>SV0325</t>
  </si>
  <si>
    <t>San Ignacio</t>
  </si>
  <si>
    <t>SV0326</t>
  </si>
  <si>
    <t>San Isidro Labrador</t>
  </si>
  <si>
    <t>SV0327</t>
  </si>
  <si>
    <t>San José Cancasque</t>
  </si>
  <si>
    <t>SV0328</t>
  </si>
  <si>
    <t>San José Las Flores</t>
  </si>
  <si>
    <t>SV0329</t>
  </si>
  <si>
    <t>San Luis del Carmen</t>
  </si>
  <si>
    <t>SV0330</t>
  </si>
  <si>
    <t>San Miguel de Mercedes</t>
  </si>
  <si>
    <t>SV0331</t>
  </si>
  <si>
    <t>San Rafael</t>
  </si>
  <si>
    <t>SV0332</t>
  </si>
  <si>
    <t>Santa Rita</t>
  </si>
  <si>
    <t>SV0333</t>
  </si>
  <si>
    <t>Tejutla</t>
  </si>
  <si>
    <t>SV0399</t>
  </si>
  <si>
    <t>Embalse Cerron Grande</t>
  </si>
  <si>
    <t>SV0401</t>
  </si>
  <si>
    <t>Candelaria</t>
  </si>
  <si>
    <t>SV0402</t>
  </si>
  <si>
    <t>Cojutepeque</t>
  </si>
  <si>
    <t>SV0403</t>
  </si>
  <si>
    <t>El Carmen</t>
  </si>
  <si>
    <t>SV0404</t>
  </si>
  <si>
    <t>El Rosario</t>
  </si>
  <si>
    <t>SV0405</t>
  </si>
  <si>
    <t>Monte San Juan</t>
  </si>
  <si>
    <t>SV0406</t>
  </si>
  <si>
    <t>Oratorio de Concepción</t>
  </si>
  <si>
    <t>SV0407</t>
  </si>
  <si>
    <t>San Bartolomé Perulapía</t>
  </si>
  <si>
    <t>SV0408</t>
  </si>
  <si>
    <t>San Cristóbal</t>
  </si>
  <si>
    <t>SV0409</t>
  </si>
  <si>
    <t>San José Guayabal</t>
  </si>
  <si>
    <t>SV0410</t>
  </si>
  <si>
    <t>San Pedro Perulapán</t>
  </si>
  <si>
    <t>SV0411</t>
  </si>
  <si>
    <t>San Rafael Cedros</t>
  </si>
  <si>
    <t>SV0412</t>
  </si>
  <si>
    <t>San Ramón</t>
  </si>
  <si>
    <t>SV0413</t>
  </si>
  <si>
    <t>Santa Cruz Analquito</t>
  </si>
  <si>
    <t>SV0414</t>
  </si>
  <si>
    <t>Santa Cruz Michapa</t>
  </si>
  <si>
    <t>SV0415</t>
  </si>
  <si>
    <t>Suchitoto</t>
  </si>
  <si>
    <t>SV0416</t>
  </si>
  <si>
    <t>Tenancingo</t>
  </si>
  <si>
    <t>SV0501</t>
  </si>
  <si>
    <t>Antiguo Cuscatlán</t>
  </si>
  <si>
    <t>SV0502</t>
  </si>
  <si>
    <t>Chiltiupán</t>
  </si>
  <si>
    <t>SV0503</t>
  </si>
  <si>
    <t>Ciudad Arce</t>
  </si>
  <si>
    <t>SV0504</t>
  </si>
  <si>
    <t>Colón</t>
  </si>
  <si>
    <t>SV0505</t>
  </si>
  <si>
    <t>Comasagua</t>
  </si>
  <si>
    <t>SV0506</t>
  </si>
  <si>
    <t>Huizúcar</t>
  </si>
  <si>
    <t>SV0507</t>
  </si>
  <si>
    <t>Jayaque</t>
  </si>
  <si>
    <t>SV0508</t>
  </si>
  <si>
    <t>Jicalapa</t>
  </si>
  <si>
    <t>SV0509</t>
  </si>
  <si>
    <t>SV0510</t>
  </si>
  <si>
    <t>Nueva San Salvador</t>
  </si>
  <si>
    <t>SV0511</t>
  </si>
  <si>
    <t>Nuevo Cuscatlán</t>
  </si>
  <si>
    <t>SV0512</t>
  </si>
  <si>
    <t>Opico</t>
  </si>
  <si>
    <t>SV0513</t>
  </si>
  <si>
    <t>Quezaltepeque</t>
  </si>
  <si>
    <t>SV0514</t>
  </si>
  <si>
    <t>Sacacoyo</t>
  </si>
  <si>
    <t>SV0515</t>
  </si>
  <si>
    <t>San José Villanueva</t>
  </si>
  <si>
    <t>SV0516</t>
  </si>
  <si>
    <t>San Matías</t>
  </si>
  <si>
    <t>SV0517</t>
  </si>
  <si>
    <t>San Pablo Tacachico</t>
  </si>
  <si>
    <t>SV0518</t>
  </si>
  <si>
    <t>Talnique</t>
  </si>
  <si>
    <t>SV0519</t>
  </si>
  <si>
    <t>Tamanique</t>
  </si>
  <si>
    <t>SV0520</t>
  </si>
  <si>
    <t>Teotepeque</t>
  </si>
  <si>
    <t>SV0521</t>
  </si>
  <si>
    <t>Tepecoyo</t>
  </si>
  <si>
    <t>SV0522</t>
  </si>
  <si>
    <t>Zaragoza</t>
  </si>
  <si>
    <t>SV0601</t>
  </si>
  <si>
    <t>Cuyultitán</t>
  </si>
  <si>
    <t>SV0602</t>
  </si>
  <si>
    <t>SV0603</t>
  </si>
  <si>
    <t>Jerusalén</t>
  </si>
  <si>
    <t>SV0604</t>
  </si>
  <si>
    <t>Mercedes La Ceiba</t>
  </si>
  <si>
    <t>SV0605</t>
  </si>
  <si>
    <t>Olocuilta</t>
  </si>
  <si>
    <t>SV0606</t>
  </si>
  <si>
    <t>Paraíso de Osorio</t>
  </si>
  <si>
    <t>SV0607</t>
  </si>
  <si>
    <t>San Antonio Masahuat</t>
  </si>
  <si>
    <t>SV0608</t>
  </si>
  <si>
    <t>San Emigdio</t>
  </si>
  <si>
    <t>SV0609</t>
  </si>
  <si>
    <t>San Francisco Chinameca</t>
  </si>
  <si>
    <t>SV0610</t>
  </si>
  <si>
    <t>San Juan Nonualco</t>
  </si>
  <si>
    <t>SV0611</t>
  </si>
  <si>
    <t>San Juan Talpa</t>
  </si>
  <si>
    <t>SV0612</t>
  </si>
  <si>
    <t>San Juan Tepezontes</t>
  </si>
  <si>
    <t>SV0613</t>
  </si>
  <si>
    <t>San Luis La Herradura</t>
  </si>
  <si>
    <t>SV0614</t>
  </si>
  <si>
    <t>San Luis Talpa</t>
  </si>
  <si>
    <t>SV0615</t>
  </si>
  <si>
    <t>San Miguel Tepezontes</t>
  </si>
  <si>
    <t>SV0616</t>
  </si>
  <si>
    <t>San Pedro Masahuat</t>
  </si>
  <si>
    <t>SV0617</t>
  </si>
  <si>
    <t>San Pedro Nonualco</t>
  </si>
  <si>
    <t>SV0618</t>
  </si>
  <si>
    <t>San Rafael Obrajuelo</t>
  </si>
  <si>
    <t>SV0619</t>
  </si>
  <si>
    <t>Santa María Ostuma</t>
  </si>
  <si>
    <t>SV0620</t>
  </si>
  <si>
    <t>Santiago Nonualco</t>
  </si>
  <si>
    <t>SV0621</t>
  </si>
  <si>
    <t>Tapalhuaca</t>
  </si>
  <si>
    <t>SV0622</t>
  </si>
  <si>
    <t>Zacatecoluca</t>
  </si>
  <si>
    <t>SV0701</t>
  </si>
  <si>
    <t>Anamorós</t>
  </si>
  <si>
    <t>SV0702</t>
  </si>
  <si>
    <t>Bolívar</t>
  </si>
  <si>
    <t>SV0703</t>
  </si>
  <si>
    <t>Concepción de Oriente</t>
  </si>
  <si>
    <t>SV0704</t>
  </si>
  <si>
    <t>Conchagua</t>
  </si>
  <si>
    <t>SV0705</t>
  </si>
  <si>
    <t>SV0706</t>
  </si>
  <si>
    <t>El Sauce</t>
  </si>
  <si>
    <t>SV0707</t>
  </si>
  <si>
    <t>Intipucá</t>
  </si>
  <si>
    <t>SV0708</t>
  </si>
  <si>
    <t>SV0709</t>
  </si>
  <si>
    <t>Lislique</t>
  </si>
  <si>
    <t>SV0710</t>
  </si>
  <si>
    <t>Meanguera del Golfo</t>
  </si>
  <si>
    <t>SV0711</t>
  </si>
  <si>
    <t>Nueva Esparta</t>
  </si>
  <si>
    <t>SV0712</t>
  </si>
  <si>
    <t>Pasaquina</t>
  </si>
  <si>
    <t>SV0713</t>
  </si>
  <si>
    <t>Polorós</t>
  </si>
  <si>
    <t>SV0714</t>
  </si>
  <si>
    <t>San Alejo</t>
  </si>
  <si>
    <t>SV0715</t>
  </si>
  <si>
    <t>San José</t>
  </si>
  <si>
    <t>SV0716</t>
  </si>
  <si>
    <t>Santa Rosa de Lima</t>
  </si>
  <si>
    <t>SV0717</t>
  </si>
  <si>
    <t>Yayantique</t>
  </si>
  <si>
    <t>SV0718</t>
  </si>
  <si>
    <t>Yucuaiquín</t>
  </si>
  <si>
    <t>SV0801</t>
  </si>
  <si>
    <t>Arambala</t>
  </si>
  <si>
    <t>SV0802</t>
  </si>
  <si>
    <t>Cacaopera</t>
  </si>
  <si>
    <t>SV0803</t>
  </si>
  <si>
    <t>Chilanga</t>
  </si>
  <si>
    <t>SV0804</t>
  </si>
  <si>
    <t>Corinto</t>
  </si>
  <si>
    <t>SV0805</t>
  </si>
  <si>
    <t>Delicias de Concepción</t>
  </si>
  <si>
    <t>SV0806</t>
  </si>
  <si>
    <t>El Divisadero</t>
  </si>
  <si>
    <t>SV0807</t>
  </si>
  <si>
    <t>SV0808</t>
  </si>
  <si>
    <t>Gualococti</t>
  </si>
  <si>
    <t>SV0809</t>
  </si>
  <si>
    <t>Guatajiagua</t>
  </si>
  <si>
    <t>SV0810</t>
  </si>
  <si>
    <t>Joateca</t>
  </si>
  <si>
    <t>SV0811</t>
  </si>
  <si>
    <t>Jocoaitique</t>
  </si>
  <si>
    <t>SV0812</t>
  </si>
  <si>
    <t>Jocoro</t>
  </si>
  <si>
    <t>SV0813</t>
  </si>
  <si>
    <t>Lolotiquillo</t>
  </si>
  <si>
    <t>SV0814</t>
  </si>
  <si>
    <t>Meanguera</t>
  </si>
  <si>
    <t>SV0815</t>
  </si>
  <si>
    <t>Osicala</t>
  </si>
  <si>
    <t>SV0816</t>
  </si>
  <si>
    <t>Perquín</t>
  </si>
  <si>
    <t>SV0817</t>
  </si>
  <si>
    <t>San Carlos</t>
  </si>
  <si>
    <t>SV0818</t>
  </si>
  <si>
    <t>SV0819</t>
  </si>
  <si>
    <t>San Francisco Gotera</t>
  </si>
  <si>
    <t>SV0820</t>
  </si>
  <si>
    <t>SV0821</t>
  </si>
  <si>
    <t>San Simón</t>
  </si>
  <si>
    <t>SV0822</t>
  </si>
  <si>
    <t>Sensembra</t>
  </si>
  <si>
    <t>SV0823</t>
  </si>
  <si>
    <t>Sociedad</t>
  </si>
  <si>
    <t>SV0824</t>
  </si>
  <si>
    <t>Torola</t>
  </si>
  <si>
    <t>SV0825</t>
  </si>
  <si>
    <t>Yamabal</t>
  </si>
  <si>
    <t>SV0826</t>
  </si>
  <si>
    <t>Yoloaiquín</t>
  </si>
  <si>
    <t>SV0901</t>
  </si>
  <si>
    <t>Carolina</t>
  </si>
  <si>
    <t>SV0902</t>
  </si>
  <si>
    <t>Chapeltique</t>
  </si>
  <si>
    <t>SV0903</t>
  </si>
  <si>
    <t>Chinameca</t>
  </si>
  <si>
    <t>SV0904</t>
  </si>
  <si>
    <t>Chirilagua</t>
  </si>
  <si>
    <t>SV0905</t>
  </si>
  <si>
    <t>Ciudad Barrios</t>
  </si>
  <si>
    <t>SV0906</t>
  </si>
  <si>
    <t>Comacarán</t>
  </si>
  <si>
    <t>SV0907</t>
  </si>
  <si>
    <t>El Tránsito</t>
  </si>
  <si>
    <t>SV0908</t>
  </si>
  <si>
    <t>Lolotique</t>
  </si>
  <si>
    <t>SV0909</t>
  </si>
  <si>
    <t>Moncagua</t>
  </si>
  <si>
    <t>SV0910</t>
  </si>
  <si>
    <t>Nueva Guadalupe</t>
  </si>
  <si>
    <t>SV0911</t>
  </si>
  <si>
    <t>Nuevo Edén de San Juan</t>
  </si>
  <si>
    <t>SV0912</t>
  </si>
  <si>
    <t>Quelepa</t>
  </si>
  <si>
    <t>SV0913</t>
  </si>
  <si>
    <t>San Antonio</t>
  </si>
  <si>
    <t>SV0914</t>
  </si>
  <si>
    <t>San Gerardo</t>
  </si>
  <si>
    <t>SV0915</t>
  </si>
  <si>
    <t>San Jorge</t>
  </si>
  <si>
    <t>SV0916</t>
  </si>
  <si>
    <t>San Luis de la Reina</t>
  </si>
  <si>
    <t>SV0917</t>
  </si>
  <si>
    <t>SV0918</t>
  </si>
  <si>
    <t>SV0919</t>
  </si>
  <si>
    <t>Sesori</t>
  </si>
  <si>
    <t>SV0920</t>
  </si>
  <si>
    <t>Uluazapa</t>
  </si>
  <si>
    <t>SV1001</t>
  </si>
  <si>
    <t>Aguilares</t>
  </si>
  <si>
    <t>SV1002</t>
  </si>
  <si>
    <t>Apopa</t>
  </si>
  <si>
    <t>SV1003</t>
  </si>
  <si>
    <t>Ayutuxtepeque</t>
  </si>
  <si>
    <t>SV1004</t>
  </si>
  <si>
    <t>Cuscatancingo</t>
  </si>
  <si>
    <t>SV1005</t>
  </si>
  <si>
    <t>El Paisnal</t>
  </si>
  <si>
    <t>SV1006</t>
  </si>
  <si>
    <t>Guazapa</t>
  </si>
  <si>
    <t>SV1007</t>
  </si>
  <si>
    <t>Ilopango</t>
  </si>
  <si>
    <t>SV1008</t>
  </si>
  <si>
    <t>Mejicanos</t>
  </si>
  <si>
    <t>SV1009</t>
  </si>
  <si>
    <t>Nejapa</t>
  </si>
  <si>
    <t>SV1010</t>
  </si>
  <si>
    <t>Panchimalco</t>
  </si>
  <si>
    <t>SV1011</t>
  </si>
  <si>
    <t>Rosario de Mora</t>
  </si>
  <si>
    <t>SV1012</t>
  </si>
  <si>
    <t>San Marcos</t>
  </si>
  <si>
    <t>SV1013</t>
  </si>
  <si>
    <t>San Martín</t>
  </si>
  <si>
    <t>SV1014</t>
  </si>
  <si>
    <t>SV1015</t>
  </si>
  <si>
    <t>Santiago Texacuangos</t>
  </si>
  <si>
    <t>SV1016</t>
  </si>
  <si>
    <t>Santo Tomás</t>
  </si>
  <si>
    <t>SV1017</t>
  </si>
  <si>
    <t>Soyapango</t>
  </si>
  <si>
    <t>SV1018</t>
  </si>
  <si>
    <t>Tonacatepeque</t>
  </si>
  <si>
    <t>SV1019</t>
  </si>
  <si>
    <t>Delgado</t>
  </si>
  <si>
    <t>SV1099</t>
  </si>
  <si>
    <t>Lago de Llopango</t>
  </si>
  <si>
    <t>SV1101</t>
  </si>
  <si>
    <t>Apastepeque</t>
  </si>
  <si>
    <t>SV1102</t>
  </si>
  <si>
    <t>Guadalupe</t>
  </si>
  <si>
    <t>SV1103</t>
  </si>
  <si>
    <t>San Cayetano Istepeque</t>
  </si>
  <si>
    <t>SV1104</t>
  </si>
  <si>
    <t>San Esteban Catarina</t>
  </si>
  <si>
    <t>SV1105</t>
  </si>
  <si>
    <t>San Ildefonso</t>
  </si>
  <si>
    <t>SV1106</t>
  </si>
  <si>
    <t>SV1107</t>
  </si>
  <si>
    <t>San Sebastián</t>
  </si>
  <si>
    <t>SV1108</t>
  </si>
  <si>
    <t>SV1109</t>
  </si>
  <si>
    <t>Santa Clara</t>
  </si>
  <si>
    <t>SV1110</t>
  </si>
  <si>
    <t>Santo Domingo</t>
  </si>
  <si>
    <t>SV1111</t>
  </si>
  <si>
    <t>Tecoluca</t>
  </si>
  <si>
    <t>SV1112</t>
  </si>
  <si>
    <t>Tepetitán</t>
  </si>
  <si>
    <t>SV1113</t>
  </si>
  <si>
    <t>Verapaz</t>
  </si>
  <si>
    <t>SV1201</t>
  </si>
  <si>
    <t>Candelaria de la Frontera</t>
  </si>
  <si>
    <t>SV1202</t>
  </si>
  <si>
    <t>Chalchuapa</t>
  </si>
  <si>
    <t>SV1203</t>
  </si>
  <si>
    <t>Coatepeque</t>
  </si>
  <si>
    <t>SV1204</t>
  </si>
  <si>
    <t>El Congo</t>
  </si>
  <si>
    <t>SV1205</t>
  </si>
  <si>
    <t>El Porvenir</t>
  </si>
  <si>
    <t>SV1206</t>
  </si>
  <si>
    <t>Masahuat</t>
  </si>
  <si>
    <t>SV1207</t>
  </si>
  <si>
    <t>Metapán</t>
  </si>
  <si>
    <t>SV1208</t>
  </si>
  <si>
    <t>San Antonio Pajonal</t>
  </si>
  <si>
    <t>SV1209</t>
  </si>
  <si>
    <t>San Sebastián Salitrillo</t>
  </si>
  <si>
    <t>SV1210</t>
  </si>
  <si>
    <t>SV1211</t>
  </si>
  <si>
    <t>Santa Rosa Guachipilín</t>
  </si>
  <si>
    <t>SV1212</t>
  </si>
  <si>
    <t>Santiago de la Frontera</t>
  </si>
  <si>
    <t>SV1213</t>
  </si>
  <si>
    <t>Texistepeque</t>
  </si>
  <si>
    <t>SV1298</t>
  </si>
  <si>
    <t>Lago de Guija</t>
  </si>
  <si>
    <t>SV1299</t>
  </si>
  <si>
    <t>Lago de Coatepeque</t>
  </si>
  <si>
    <t>SV1301</t>
  </si>
  <si>
    <t>Acajutla</t>
  </si>
  <si>
    <t>SV1302</t>
  </si>
  <si>
    <t>Armenia</t>
  </si>
  <si>
    <t>SV1303</t>
  </si>
  <si>
    <t>Caluco</t>
  </si>
  <si>
    <t>SV1304</t>
  </si>
  <si>
    <t>Cuisnahuat</t>
  </si>
  <si>
    <t>SV1305</t>
  </si>
  <si>
    <t>Izalco</t>
  </si>
  <si>
    <t>SV1306</t>
  </si>
  <si>
    <t>Juayúa</t>
  </si>
  <si>
    <t>SV1307</t>
  </si>
  <si>
    <t>Nahuizalco</t>
  </si>
  <si>
    <t>SV1308</t>
  </si>
  <si>
    <t>Nahulingo</t>
  </si>
  <si>
    <t>SV1309</t>
  </si>
  <si>
    <t>Salcoatitán</t>
  </si>
  <si>
    <t>SV1310</t>
  </si>
  <si>
    <t>San Antonio del Monte</t>
  </si>
  <si>
    <t>SV1311</t>
  </si>
  <si>
    <t>San Julián</t>
  </si>
  <si>
    <t>SV1312</t>
  </si>
  <si>
    <t>Santa Catarina Masahuat</t>
  </si>
  <si>
    <t>SV1313</t>
  </si>
  <si>
    <t>Santa Isabel Ishuatán</t>
  </si>
  <si>
    <t>SV1314</t>
  </si>
  <si>
    <t>SV1315</t>
  </si>
  <si>
    <t>SV1316</t>
  </si>
  <si>
    <t>Sonzacate</t>
  </si>
  <si>
    <t>SV1401</t>
  </si>
  <si>
    <t>Alegría</t>
  </si>
  <si>
    <t>SV1402</t>
  </si>
  <si>
    <t>Berlín</t>
  </si>
  <si>
    <t>SV1403</t>
  </si>
  <si>
    <t>California</t>
  </si>
  <si>
    <t>SV1404</t>
  </si>
  <si>
    <t>Concepción Batres</t>
  </si>
  <si>
    <t>SV1405</t>
  </si>
  <si>
    <t>El Triunfo</t>
  </si>
  <si>
    <t>SV1406</t>
  </si>
  <si>
    <t>Ereguayquín</t>
  </si>
  <si>
    <t>SV1407</t>
  </si>
  <si>
    <t>Estanzuelas</t>
  </si>
  <si>
    <t>SV1408</t>
  </si>
  <si>
    <t>Jiquilisco</t>
  </si>
  <si>
    <t>SV1409</t>
  </si>
  <si>
    <t>Jucuapa</t>
  </si>
  <si>
    <t>SV1410</t>
  </si>
  <si>
    <t>Jucuarán</t>
  </si>
  <si>
    <t>SV1411</t>
  </si>
  <si>
    <t>Mercedes Umaña</t>
  </si>
  <si>
    <t>SV1412</t>
  </si>
  <si>
    <t>Nueva Granada</t>
  </si>
  <si>
    <t>SV1413</t>
  </si>
  <si>
    <t>Ozatlán</t>
  </si>
  <si>
    <t>SV1414</t>
  </si>
  <si>
    <t>Puerto El Triunfo</t>
  </si>
  <si>
    <t>SV1415</t>
  </si>
  <si>
    <t>San Agustín</t>
  </si>
  <si>
    <t>SV1416</t>
  </si>
  <si>
    <t>San Buenaventura</t>
  </si>
  <si>
    <t>SV1417</t>
  </si>
  <si>
    <t>San Dionisio</t>
  </si>
  <si>
    <t>SV1418</t>
  </si>
  <si>
    <t>San Francisco Javier</t>
  </si>
  <si>
    <t>SV1419</t>
  </si>
  <si>
    <t>Santa Elena</t>
  </si>
  <si>
    <t>SV1420</t>
  </si>
  <si>
    <t>Santa María</t>
  </si>
  <si>
    <t>SV1421</t>
  </si>
  <si>
    <t>Santiago de María</t>
  </si>
  <si>
    <t>SV1422</t>
  </si>
  <si>
    <t>Tecapán</t>
  </si>
  <si>
    <t>SV1423</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</si>
  <si>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</si>
  <si>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</si>
  <si>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</si>
  <si>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</si>
  <si>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</si>
  <si>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</si>
  <si>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</si>
  <si>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</si>
  <si>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</si>
  <si>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</si>
  <si>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</si>
  <si>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</si>
  <si>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</si>
  <si>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(EN)</t>
  </si>
  <si>
    <t>Replacement (ES)</t>
  </si>
  <si>
    <t>Comment (ES)</t>
  </si>
  <si>
    <t>Comment (EN)</t>
  </si>
  <si>
    <t>Exemple (ES)</t>
  </si>
  <si>
    <t>Example(EN)</t>
  </si>
  <si>
    <t>FOR CORE QUESTIONS    .
(Mandatory to fill out)    .</t>
  </si>
  <si>
    <t>phone number</t>
  </si>
  <si>
    <t>70******</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</si>
  <si>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</si>
  <si>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</si>
  <si>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</si>
  <si>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</si>
  <si>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</si>
  <si>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</si>
  <si>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</si>
  <si>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</si>
  <si>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</si>
  <si>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</si>
  <si>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</si>
  <si>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</si>
  <si>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</si>
  <si>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</si>
  <si>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</si>
  <si>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</si>
  <si>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</si>
  <si>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</si>
  <si>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</si>
  <si>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last year</t>
  </si>
  <si>
    <t>el año pasado</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</si>
  <si>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</si>
  <si>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</si>
  <si>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un año normal</t>
  </si>
  <si>
    <t>a normal year</t>
  </si>
  <si>
    <t>season</t>
  </si>
  <si>
    <t>First</t>
  </si>
  <si>
    <t>Primera</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</si>
  <si>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</si>
  <si>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</si>
  <si>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</si>
  <si>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</si>
  <si>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</si>
  <si>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Recently Finished</t>
  </si>
  <si>
    <t>terminado recientemente</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</si>
  <si>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</si>
  <si>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</si>
  <si>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</si>
  <si>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</si>
  <si>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</si>
  <si>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</si>
  <si>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</si>
  <si>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</si>
  <si>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</si>
  <si>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</si>
  <si>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</si>
  <si>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</si>
  <si>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USD</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</si>
  <si>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</si>
  <si>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</si>
  <si>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</si>
  <si>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</si>
  <si>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</si>
  <si>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</si>
  <si>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</si>
  <si>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</si>
  <si>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</si>
  <si>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</si>
  <si>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Green chili, onion, pipian, eggplant, carrot, güisquil</t>
  </si>
  <si>
    <t>Chile verde, cebolla, pipian, berengena, zanahoria, güisquil</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</si>
  <si>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</si>
  <si>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</si>
  <si>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</si>
  <si>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</si>
  <si>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</si>
  <si>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mango, apple, jocote, papaya, pineapple, grapes, guava</t>
  </si>
  <si>
    <t>mango, manzana, jocote, papaya, piña, uvas, guayaba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</si>
  <si>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</si>
  <si>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</si>
  <si>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</si>
  <si>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</si>
  <si>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</si>
  <si>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</si>
  <si>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</si>
  <si>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</si>
  <si>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</si>
  <si>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</si>
  <si>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</si>
  <si>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</si>
  <si>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</si>
  <si>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</si>
  <si>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Actualmente, ¿en qué Departamento reside su hogar?</t>
  </si>
  <si>
    <t>Actualmente, ¿en qué Municipio reside su hogar?</t>
  </si>
  <si>
    <t>Currently, in which Municipality does your household reside?</t>
  </si>
  <si>
    <t>Currently, in which Department does your household reside?</t>
  </si>
  <si>
    <t>Ahora me gustaría preguntarle sobre la producción de cultivos. Estas preguntas aplican para usted o cualquier miembro de su hogar que esté involucrado/a en la producción de cultivos. Todas las preguntas se refieren a lo producido durante Primera.</t>
  </si>
  <si>
    <t>De haber alguno, ¿cuál es el principal cultivo que su hogar produce para la alimentación o la generación de ingresos en Primera?</t>
  </si>
  <si>
    <t>¿Por qué no produjo ningún cultivo en Primera</t>
  </si>
  <si>
    <t>¿Cómo se compara el ***área sembrada*** de ${crpmain} en Primera con respecto a el año pasado?</t>
  </si>
  <si>
    <t>¿Cuánto ${crpmain} (trillado) cosechó en Primera</t>
  </si>
  <si>
    <t>¿Cuántos ${crp_harvunit} de ${crpmain} (trillado) cosechó el año pasado en Primera?</t>
  </si>
  <si>
    <t>¿Cómo compara la ***cosecha***  para su ${crpmain} en Primera comparado con el año pasado?</t>
  </si>
  <si>
    <t xml:space="preserve">¿Ha enfrentado su hogar algún tipo de dificultad con la ***producción de cultivos*** en Primera? </t>
  </si>
  <si>
    <t>¿Cuáles dificultades ha enfrentado su hogar con la producción de cultivos en Primera?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</si>
</sst>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theme="0" tint="-0.34995574816125979"/>
      <name val="Calibri"/>
      <family val="2"/>
      <scheme val="minor"/>
    </font>
    <font>
      <sz val="12"/>
      <color theme="9" tint="-0.499984740745262"/>
      <name val="Calibri"/>
      <family val="2"/>
      <scheme val="minor"/>
    </font>
    <font>
      <sz val="11"/>
      <color rgb="FF000000"/>
      <name val="Calibri"/>
      <family val="2"/>
    </font>
    <font>
      <sz val="12"/>
      <name val="Calibri"/>
      <family val="2"/>
      <scheme val="minor"/>
    </font>
    <font>
      <sz val="11"/>
      <color theme="7" tint="-0.249977111117893"/>
      <name val="Calibri"/>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
      <patternFill patternType="solid">
        <fgColor rgb="FFFF0000"/>
        <bgColor indexed="64"/>
      </patternFill>
    </fill>
    <fill>
      <patternFill patternType="solid">
        <fgColor rgb="FFFFC000"/>
        <bgColor indexed="64"/>
      </patternFill>
    </fill>
    <fill>
      <patternFill patternType="solid">
        <fgColor theme="8" tint="0.39997558519241921"/>
        <bgColor indexed="64"/>
      </patternFill>
    </fill>
  </fills>
  <borders count="5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0">
    <xf numFmtId="0" fontId="0" fillId="0" borderId="0"/>
    <xf numFmtId="0" fontId="6" fillId="0" borderId="0"/>
    <xf numFmtId="0" fontId="9" fillId="0" borderId="0"/>
    <xf numFmtId="0" fontId="15" fillId="0" borderId="0"/>
    <xf numFmtId="0" fontId="6" fillId="0" borderId="0"/>
    <xf numFmtId="0" fontId="6" fillId="0" borderId="0"/>
    <xf numFmtId="0" fontId="19"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xf numFmtId="0" fontId="6" fillId="0" borderId="0"/>
    <xf numFmtId="0" fontId="6" fillId="0" borderId="0"/>
  </cellStyleXfs>
  <cellXfs count="343">
    <xf numFmtId="0" fontId="0" fillId="0" borderId="0" xfId="0"/>
    <xf numFmtId="0" fontId="8" fillId="2" borderId="0" xfId="0" applyFont="1" applyFill="1" applyProtection="1">
      <protection locked="0"/>
    </xf>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13" fillId="2" borderId="0" xfId="0" applyFont="1" applyFill="1" applyProtection="1">
      <protection locked="0"/>
    </xf>
    <xf numFmtId="0" fontId="7"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applyProtection="1">
      <protection locked="0"/>
    </xf>
    <xf numFmtId="0" fontId="10" fillId="0" borderId="0" xfId="0" applyFont="1" applyProtection="1">
      <protection locked="0"/>
    </xf>
    <xf numFmtId="0" fontId="11" fillId="2" borderId="0" xfId="0" applyFont="1" applyFill="1" applyProtection="1">
      <protection locked="0"/>
    </xf>
    <xf numFmtId="0" fontId="4" fillId="3" borderId="4" xfId="10" applyFont="1" applyFill="1" applyBorder="1" applyAlignment="1" applyProtection="1">
      <alignment horizontal="center" vertical="center"/>
      <protection locked="0"/>
    </xf>
    <xf numFmtId="0" fontId="21" fillId="0" borderId="39"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1" fillId="0" borderId="0" xfId="0" applyFont="1" applyAlignment="1">
      <alignment vertical="top"/>
    </xf>
    <xf numFmtId="0" fontId="11" fillId="2" borderId="0" xfId="0" applyFont="1"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10" fillId="0" borderId="1" xfId="0" applyFont="1" applyBorder="1" applyAlignment="1">
      <alignment vertical="top"/>
    </xf>
    <xf numFmtId="0" fontId="10" fillId="0" borderId="1" xfId="0" applyFont="1" applyBorder="1" applyAlignment="1">
      <alignment vertical="top" wrapText="1"/>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4" fillId="2" borderId="0" xfId="0" applyFont="1" applyFill="1" applyAlignment="1" applyProtection="1">
      <alignment vertical="top"/>
      <protection locked="0"/>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5" fillId="0" borderId="0" xfId="0" applyFont="1" applyAlignment="1" applyProtection="1">
      <alignment vertical="center"/>
      <protection locked="0"/>
    </xf>
    <xf numFmtId="0" fontId="25"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4" fillId="0" borderId="0" xfId="0" applyFont="1" applyAlignment="1" applyProtection="1">
      <alignment vertical="center"/>
      <protection locked="0"/>
    </xf>
    <xf numFmtId="0" fontId="7" fillId="0" borderId="0" xfId="0" applyFont="1" applyAlignment="1">
      <alignment vertical="center"/>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1"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8" fillId="0" borderId="0" xfId="0" applyFont="1" applyAlignment="1">
      <alignment vertical="center"/>
    </xf>
    <xf numFmtId="0" fontId="28" fillId="0" borderId="0" xfId="0" applyFont="1" applyAlignment="1">
      <alignment vertical="top"/>
    </xf>
    <xf numFmtId="0" fontId="28" fillId="0" borderId="0" xfId="0" applyFont="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0" fontId="22" fillId="0" borderId="0" xfId="0" applyFont="1" applyAlignment="1" applyProtection="1">
      <alignment vertical="top" wrapText="1"/>
      <protection locked="0"/>
    </xf>
    <xf numFmtId="9" fontId="11" fillId="0" borderId="0" xfId="0" applyNumberFormat="1" applyFont="1" applyAlignment="1" applyProtection="1">
      <alignment vertical="top"/>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49" fontId="28" fillId="0" borderId="0" xfId="0" applyNumberFormat="1" applyFont="1" applyAlignment="1">
      <alignment horizontal="left" vertical="top" wrapText="1"/>
    </xf>
    <xf numFmtId="1" fontId="26" fillId="2" borderId="7" xfId="5" applyNumberFormat="1" applyFont="1" applyFill="1" applyBorder="1" applyAlignment="1" applyProtection="1">
      <alignment horizontal="center" vertical="center"/>
      <protection locked="0"/>
    </xf>
    <xf numFmtId="0" fontId="24" fillId="0" borderId="0" xfId="0" applyFont="1" applyProtection="1">
      <protection locked="0"/>
    </xf>
    <xf numFmtId="0" fontId="20"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165" fontId="11" fillId="0" borderId="0" xfId="0" applyNumberFormat="1" applyFont="1" applyAlignment="1" applyProtection="1">
      <alignment horizontal="right" vertical="top"/>
      <protection locked="0"/>
    </xf>
    <xf numFmtId="0" fontId="8"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11" fillId="3" borderId="0" xfId="0" applyFont="1" applyFill="1" applyProtection="1">
      <protection locked="0"/>
    </xf>
    <xf numFmtId="0" fontId="22" fillId="2" borderId="0" xfId="0" applyFont="1" applyFill="1" applyProtection="1">
      <protection locked="0"/>
    </xf>
    <xf numFmtId="0" fontId="22" fillId="0" borderId="0" xfId="0" applyFont="1" applyProtection="1">
      <protection locked="0"/>
    </xf>
    <xf numFmtId="0" fontId="0" fillId="3" borderId="0" xfId="0" applyFill="1" applyProtection="1">
      <protection locked="0"/>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0" fillId="0" borderId="0" xfId="0" applyAlignment="1" applyProtection="1">
      <alignment horizontal="left" vertical="center" wrapText="1"/>
      <protection locked="0"/>
    </xf>
    <xf numFmtId="0" fontId="10" fillId="0" borderId="0" xfId="0" applyFont="1" applyAlignment="1">
      <alignment horizontal="left" vertical="top"/>
    </xf>
    <xf numFmtId="0" fontId="0" fillId="0" borderId="1" xfId="0" applyBorder="1" applyAlignment="1" applyProtection="1">
      <alignment vertical="top"/>
      <protection locked="0"/>
    </xf>
    <xf numFmtId="164" fontId="17" fillId="0" borderId="50" xfId="7" applyNumberFormat="1" applyFont="1" applyBorder="1" applyAlignment="1">
      <alignment horizontal="center" vertical="center" wrapText="1"/>
    </xf>
    <xf numFmtId="164" fontId="17" fillId="0" borderId="41" xfId="7" applyNumberFormat="1" applyFont="1" applyBorder="1" applyAlignment="1">
      <alignment horizontal="center" vertical="center" wrapText="1"/>
    </xf>
    <xf numFmtId="164" fontId="17" fillId="0" borderId="51"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9"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3" fillId="2" borderId="7" xfId="17" applyFont="1" applyFill="1" applyBorder="1" applyAlignment="1" applyProtection="1">
      <alignment horizontal="center" vertical="center"/>
      <protection locked="0"/>
    </xf>
    <xf numFmtId="0" fontId="4" fillId="0" borderId="2" xfId="10" applyFont="1" applyBorder="1"/>
    <xf numFmtId="0" fontId="4" fillId="0" borderId="13" xfId="10" applyFont="1" applyBorder="1"/>
    <xf numFmtId="0" fontId="4" fillId="0" borderId="13" xfId="10" applyFont="1" applyBorder="1" applyAlignment="1">
      <alignment vertical="center"/>
    </xf>
    <xf numFmtId="0" fontId="3" fillId="0" borderId="13" xfId="17" applyFont="1" applyBorder="1"/>
    <xf numFmtId="0" fontId="4" fillId="0" borderId="6" xfId="10" applyFont="1" applyBorder="1" applyAlignment="1">
      <alignment vertical="center"/>
    </xf>
    <xf numFmtId="0" fontId="4"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46" xfId="10" applyFont="1" applyBorder="1" applyAlignment="1">
      <alignment horizontal="center" vertical="center"/>
    </xf>
    <xf numFmtId="0" fontId="18" fillId="0" borderId="26" xfId="10" applyFont="1" applyBorder="1" applyAlignment="1">
      <alignment horizontal="center" vertical="center"/>
    </xf>
    <xf numFmtId="0" fontId="18" fillId="0" borderId="46" xfId="17" applyFont="1" applyBorder="1" applyAlignment="1">
      <alignment horizontal="center" vertical="center"/>
    </xf>
    <xf numFmtId="0" fontId="18" fillId="0" borderId="18" xfId="10" applyFont="1" applyBorder="1" applyAlignment="1">
      <alignment horizontal="center" vertical="center"/>
    </xf>
    <xf numFmtId="0" fontId="4" fillId="0" borderId="23" xfId="10" applyFont="1" applyBorder="1" applyAlignment="1">
      <alignment vertical="center"/>
    </xf>
    <xf numFmtId="0" fontId="4" fillId="0" borderId="2" xfId="10" applyFont="1" applyBorder="1" applyAlignment="1">
      <alignment vertical="center"/>
    </xf>
    <xf numFmtId="0" fontId="4" fillId="0" borderId="6" xfId="10" applyFont="1" applyBorder="1"/>
    <xf numFmtId="0" fontId="16" fillId="0" borderId="15" xfId="5" applyFont="1" applyBorder="1" applyAlignment="1">
      <alignment horizontal="left" vertical="center" wrapText="1"/>
    </xf>
    <xf numFmtId="0" fontId="3" fillId="5" borderId="54" xfId="17" applyFont="1" applyFill="1" applyBorder="1" applyAlignment="1">
      <alignment horizontal="center" vertical="center"/>
    </xf>
    <xf numFmtId="0" fontId="17" fillId="0" borderId="47" xfId="5" applyFont="1" applyBorder="1" applyAlignment="1">
      <alignment vertical="center" wrapText="1"/>
    </xf>
    <xf numFmtId="0" fontId="17" fillId="0" borderId="16" xfId="5" applyFont="1" applyBorder="1" applyAlignment="1">
      <alignment vertical="center" wrapText="1"/>
    </xf>
    <xf numFmtId="0" fontId="9" fillId="0" borderId="52" xfId="17" applyFont="1" applyBorder="1" applyAlignment="1">
      <alignment horizontal="center" vertical="center"/>
    </xf>
    <xf numFmtId="0" fontId="30" fillId="0" borderId="42" xfId="5" applyFont="1" applyBorder="1" applyAlignment="1">
      <alignment horizontal="center" vertical="center"/>
    </xf>
    <xf numFmtId="0" fontId="4" fillId="0" borderId="23" xfId="10" applyFont="1" applyBorder="1"/>
    <xf numFmtId="0" fontId="16" fillId="0" borderId="10" xfId="5" applyFont="1" applyBorder="1" applyAlignment="1">
      <alignment horizontal="left" vertical="center"/>
    </xf>
    <xf numFmtId="0" fontId="3" fillId="5" borderId="7" xfId="17" applyFont="1" applyFill="1" applyBorder="1" applyAlignment="1">
      <alignment horizontal="center" vertical="center"/>
    </xf>
    <xf numFmtId="0" fontId="16" fillId="0" borderId="7" xfId="5" applyFont="1" applyBorder="1" applyAlignment="1">
      <alignment vertical="center" wrapText="1"/>
    </xf>
    <xf numFmtId="0" fontId="16" fillId="0" borderId="9" xfId="5" applyFont="1" applyBorder="1" applyAlignment="1">
      <alignment vertical="center" wrapText="1"/>
    </xf>
    <xf numFmtId="0" fontId="9" fillId="0" borderId="53" xfId="17" applyFont="1" applyBorder="1" applyAlignment="1">
      <alignment horizontal="center" vertical="center"/>
    </xf>
    <xf numFmtId="0" fontId="30" fillId="0" borderId="43" xfId="5" applyFont="1" applyBorder="1" applyAlignment="1">
      <alignment horizontal="center" vertical="center"/>
    </xf>
    <xf numFmtId="0" fontId="16" fillId="0" borderId="38" xfId="10" applyFont="1" applyBorder="1" applyAlignment="1">
      <alignment horizontal="left" vertical="center"/>
    </xf>
    <xf numFmtId="0" fontId="16" fillId="0" borderId="38" xfId="17" applyFont="1" applyBorder="1" applyAlignment="1">
      <alignment horizontal="center" vertical="center" wrapText="1"/>
    </xf>
    <xf numFmtId="0" fontId="30" fillId="0" borderId="32" xfId="10" applyFont="1" applyBorder="1" applyAlignment="1">
      <alignment horizontal="center" vertical="center" wrapText="1"/>
    </xf>
    <xf numFmtId="0" fontId="16" fillId="0" borderId="37" xfId="10" applyFont="1" applyBorder="1" applyAlignment="1">
      <alignment horizontal="left" vertical="center"/>
    </xf>
    <xf numFmtId="0" fontId="16" fillId="0" borderId="37" xfId="17" applyFont="1" applyBorder="1" applyAlignment="1">
      <alignment horizontal="center" vertical="center" wrapText="1"/>
    </xf>
    <xf numFmtId="0" fontId="30" fillId="0" borderId="28" xfId="10" applyFont="1" applyBorder="1" applyAlignment="1">
      <alignment horizontal="center" vertical="center" wrapText="1"/>
    </xf>
    <xf numFmtId="0" fontId="5"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30" fillId="0" borderId="28" xfId="5" applyFont="1" applyBorder="1" applyAlignment="1">
      <alignment horizontal="center" vertical="center" wrapText="1"/>
    </xf>
    <xf numFmtId="0" fontId="5" fillId="0" borderId="23" xfId="5" applyFont="1" applyBorder="1"/>
    <xf numFmtId="0" fontId="5" fillId="0" borderId="2" xfId="5" applyFont="1" applyBorder="1"/>
    <xf numFmtId="0" fontId="17" fillId="0" borderId="7" xfId="10" applyFont="1" applyBorder="1" applyAlignment="1">
      <alignment vertical="center" wrapText="1"/>
    </xf>
    <xf numFmtId="0" fontId="17" fillId="0" borderId="37" xfId="17" applyFont="1" applyBorder="1" applyAlignment="1">
      <alignment horizontal="center" vertical="center" wrapText="1"/>
    </xf>
    <xf numFmtId="0" fontId="17" fillId="0" borderId="28" xfId="10" applyFont="1" applyBorder="1" applyAlignment="1">
      <alignment horizontal="center" vertical="center" wrapText="1"/>
    </xf>
    <xf numFmtId="0" fontId="3" fillId="5" borderId="7" xfId="17" applyFont="1" applyFill="1" applyBorder="1" applyAlignment="1">
      <alignment horizontal="center" vertical="center" wrapText="1"/>
    </xf>
    <xf numFmtId="0" fontId="16" fillId="0" borderId="44" xfId="5" applyFont="1" applyBorder="1" applyAlignment="1">
      <alignment vertical="center"/>
    </xf>
    <xf numFmtId="0" fontId="17" fillId="0" borderId="19" xfId="10" applyFont="1" applyBorder="1" applyAlignment="1">
      <alignment vertical="center" wrapText="1"/>
    </xf>
    <xf numFmtId="0" fontId="17" fillId="0" borderId="28" xfId="5" applyFont="1" applyBorder="1" applyAlignment="1">
      <alignment horizontal="center" vertical="center" wrapText="1"/>
    </xf>
    <xf numFmtId="0" fontId="16" fillId="0" borderId="34" xfId="5" applyFont="1" applyBorder="1" applyAlignment="1">
      <alignment vertical="center"/>
    </xf>
    <xf numFmtId="4" fontId="3" fillId="5" borderId="4" xfId="17" applyNumberFormat="1" applyFont="1" applyFill="1" applyBorder="1" applyAlignment="1">
      <alignment horizontal="center" vertical="center"/>
    </xf>
    <xf numFmtId="0" fontId="17" fillId="0" borderId="35" xfId="10" applyFont="1" applyBorder="1" applyAlignment="1">
      <alignment vertical="center" wrapText="1"/>
    </xf>
    <xf numFmtId="2" fontId="17" fillId="0" borderId="48" xfId="17" applyNumberFormat="1" applyFont="1" applyBorder="1" applyAlignment="1">
      <alignment horizontal="center" vertical="center" wrapText="1"/>
    </xf>
    <xf numFmtId="0" fontId="30" fillId="0" borderId="36" xfId="5" applyFont="1" applyBorder="1" applyAlignment="1">
      <alignment horizontal="center" vertical="center" wrapText="1"/>
    </xf>
    <xf numFmtId="0" fontId="16" fillId="0" borderId="10" xfId="10" applyFont="1" applyBorder="1" applyAlignment="1">
      <alignment horizontal="left" vertical="center"/>
    </xf>
    <xf numFmtId="0" fontId="16" fillId="0" borderId="31" xfId="10" applyFont="1" applyBorder="1" applyAlignment="1">
      <alignment vertical="center" wrapText="1"/>
    </xf>
    <xf numFmtId="0" fontId="29" fillId="0" borderId="32" xfId="10" applyFont="1" applyBorder="1" applyAlignment="1">
      <alignment horizontal="center"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29" fillId="0" borderId="28" xfId="10" applyFont="1" applyBorder="1" applyAlignment="1">
      <alignment horizontal="center" vertical="center" wrapText="1"/>
    </xf>
    <xf numFmtId="0" fontId="4" fillId="0" borderId="40" xfId="10" applyFont="1" applyBorder="1"/>
    <xf numFmtId="0" fontId="4" fillId="5" borderId="23" xfId="10" applyFont="1" applyFill="1" applyBorder="1"/>
    <xf numFmtId="0" fontId="16" fillId="0" borderId="8" xfId="10" applyFont="1" applyBorder="1" applyAlignment="1">
      <alignment horizontal="left" vertical="center" wrapText="1"/>
    </xf>
    <xf numFmtId="0" fontId="16" fillId="0" borderId="5" xfId="10" applyFont="1" applyBorder="1" applyAlignment="1">
      <alignment horizontal="left" vertical="center" wrapText="1"/>
    </xf>
    <xf numFmtId="0" fontId="17" fillId="0" borderId="30" xfId="10" applyFont="1" applyBorder="1" applyAlignment="1">
      <alignment vertical="center" wrapText="1"/>
    </xf>
    <xf numFmtId="0" fontId="17" fillId="0" borderId="49" xfId="17" applyFont="1" applyBorder="1" applyAlignment="1">
      <alignment horizontal="center" vertical="center" wrapText="1"/>
    </xf>
    <xf numFmtId="0" fontId="17" fillId="0" borderId="22" xfId="10" applyFont="1" applyBorder="1" applyAlignment="1">
      <alignment horizontal="center" vertical="center" wrapText="1"/>
    </xf>
    <xf numFmtId="0" fontId="4" fillId="5" borderId="6" xfId="10" applyFont="1" applyFill="1" applyBorder="1"/>
    <xf numFmtId="0" fontId="4" fillId="5" borderId="33" xfId="10" applyFont="1" applyFill="1" applyBorder="1" applyAlignment="1">
      <alignment wrapText="1"/>
    </xf>
    <xf numFmtId="0" fontId="16" fillId="5" borderId="34" xfId="10" applyFont="1" applyFill="1" applyBorder="1" applyAlignment="1">
      <alignment vertical="center"/>
    </xf>
    <xf numFmtId="0" fontId="4" fillId="5" borderId="24" xfId="10" applyFont="1" applyFill="1" applyBorder="1" applyAlignment="1">
      <alignment horizontal="center" vertical="center"/>
    </xf>
    <xf numFmtId="0" fontId="4" fillId="5" borderId="45" xfId="10" applyFont="1" applyFill="1" applyBorder="1" applyAlignment="1">
      <alignment horizontal="center" vertical="center"/>
    </xf>
    <xf numFmtId="0" fontId="17" fillId="5" borderId="35" xfId="10" applyFont="1" applyFill="1" applyBorder="1" applyAlignment="1">
      <alignment vertical="center" wrapText="1"/>
    </xf>
    <xf numFmtId="0" fontId="17" fillId="5" borderId="48" xfId="17" applyFont="1" applyFill="1" applyBorder="1" applyAlignment="1">
      <alignment horizontal="center" vertical="center" wrapText="1"/>
    </xf>
    <xf numFmtId="0" fontId="17" fillId="5" borderId="36" xfId="10" applyFont="1" applyFill="1" applyBorder="1" applyAlignment="1">
      <alignment horizontal="center" vertical="center" wrapText="1"/>
    </xf>
    <xf numFmtId="0" fontId="4" fillId="5" borderId="2" xfId="10" applyFont="1" applyFill="1" applyBorder="1"/>
    <xf numFmtId="0" fontId="23" fillId="0" borderId="15" xfId="10" applyFont="1" applyBorder="1" applyAlignment="1">
      <alignment horizontal="center" vertical="center" wrapText="1"/>
    </xf>
    <xf numFmtId="0" fontId="27" fillId="0" borderId="16" xfId="10" applyFont="1" applyBorder="1" applyAlignment="1">
      <alignment vertical="center" wrapText="1"/>
    </xf>
    <xf numFmtId="0" fontId="23" fillId="0" borderId="8" xfId="10" applyFont="1" applyBorder="1" applyAlignment="1">
      <alignment horizontal="center" vertical="center" wrapText="1"/>
    </xf>
    <xf numFmtId="0" fontId="27" fillId="0" borderId="7" xfId="10" applyFont="1" applyBorder="1" applyAlignment="1">
      <alignment vertical="center" wrapText="1"/>
    </xf>
    <xf numFmtId="0" fontId="23" fillId="0" borderId="5" xfId="10" applyFont="1" applyBorder="1" applyAlignment="1">
      <alignment horizontal="center" vertical="center" wrapText="1"/>
    </xf>
    <xf numFmtId="0" fontId="27" fillId="0" borderId="4" xfId="10" applyFont="1" applyBorder="1" applyAlignment="1">
      <alignment vertical="center" wrapText="1"/>
    </xf>
    <xf numFmtId="0" fontId="4" fillId="0" borderId="3" xfId="10" applyFont="1" applyBorder="1"/>
    <xf numFmtId="0" fontId="4" fillId="0" borderId="3" xfId="10" applyFont="1" applyBorder="1" applyAlignment="1">
      <alignment vertical="center"/>
    </xf>
    <xf numFmtId="0" fontId="3" fillId="0" borderId="3" xfId="17" applyFont="1" applyBorder="1"/>
    <xf numFmtId="0" fontId="3" fillId="0" borderId="2" xfId="17" applyFont="1" applyBorder="1"/>
    <xf numFmtId="164" fontId="4" fillId="2" borderId="16" xfId="10" applyNumberFormat="1" applyFont="1" applyFill="1" applyBorder="1" applyAlignment="1" applyProtection="1">
      <alignment horizontal="center" vertical="center"/>
      <protection locked="0"/>
    </xf>
    <xf numFmtId="164" fontId="4" fillId="2" borderId="7" xfId="10" applyNumberFormat="1" applyFont="1" applyFill="1" applyBorder="1" applyAlignment="1" applyProtection="1">
      <alignment horizontal="center" vertical="center"/>
      <protection locked="0"/>
    </xf>
    <xf numFmtId="164" fontId="4" fillId="2" borderId="4" xfId="10" applyNumberFormat="1" applyFont="1" applyFill="1" applyBorder="1" applyAlignment="1" applyProtection="1">
      <alignment horizontal="center" vertical="center"/>
      <protection locked="0"/>
    </xf>
    <xf numFmtId="0" fontId="0" fillId="0" borderId="6" xfId="0" applyBorder="1" applyAlignment="1">
      <alignment wrapText="1"/>
    </xf>
    <xf numFmtId="0" fontId="20" fillId="0" borderId="7" xfId="6" applyFont="1" applyFill="1" applyBorder="1" applyAlignment="1">
      <alignment horizontal="center" vertical="center" wrapText="1"/>
    </xf>
    <xf numFmtId="0" fontId="10" fillId="0" borderId="7" xfId="0" applyFont="1" applyBorder="1" applyAlignment="1">
      <alignment horizontal="center" vertical="center" wrapText="1"/>
    </xf>
    <xf numFmtId="0" fontId="10" fillId="0" borderId="0" xfId="0" applyFont="1" applyAlignment="1">
      <alignment horizontal="left" vertical="center" wrapText="1"/>
    </xf>
    <xf numFmtId="0" fontId="31" fillId="8" borderId="0" xfId="0" applyFont="1" applyFill="1" applyProtection="1">
      <protection locked="0"/>
    </xf>
    <xf numFmtId="0" fontId="10" fillId="8" borderId="0" xfId="0" applyFont="1" applyFill="1" applyProtection="1">
      <protection locked="0"/>
    </xf>
    <xf numFmtId="0" fontId="31" fillId="0" borderId="0" xfId="0" applyFont="1" applyProtection="1">
      <protection locked="0"/>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37" xfId="17" applyFont="1" applyBorder="1" applyAlignment="1">
      <alignment vertical="center" wrapText="1"/>
    </xf>
    <xf numFmtId="0" fontId="17" fillId="0" borderId="48" xfId="17" applyFont="1" applyBorder="1" applyAlignment="1">
      <alignment vertical="center" wrapText="1"/>
    </xf>
    <xf numFmtId="0" fontId="16" fillId="0" borderId="55" xfId="17" applyFont="1" applyBorder="1" applyAlignment="1">
      <alignment vertical="center" wrapText="1"/>
    </xf>
    <xf numFmtId="0" fontId="17" fillId="0" borderId="56" xfId="17" applyFont="1" applyBorder="1" applyAlignment="1">
      <alignment vertical="center" wrapText="1"/>
    </xf>
    <xf numFmtId="0" fontId="17" fillId="0" borderId="56" xfId="17" applyFont="1" applyBorder="1" applyAlignment="1">
      <alignment wrapText="1"/>
    </xf>
    <xf numFmtId="0" fontId="17" fillId="0" borderId="49" xfId="17" applyFont="1" applyBorder="1" applyAlignment="1">
      <alignment vertical="center" wrapText="1"/>
    </xf>
    <xf numFmtId="0" fontId="27" fillId="0" borderId="50" xfId="17" applyFont="1" applyBorder="1" applyAlignment="1">
      <alignment vertical="center" wrapText="1"/>
    </xf>
    <xf numFmtId="0" fontId="27" fillId="0" borderId="51" xfId="17" applyFont="1" applyBorder="1" applyAlignment="1">
      <alignment vertical="center" wrapText="1"/>
    </xf>
    <xf numFmtId="0" fontId="27" fillId="0" borderId="49" xfId="17" applyFont="1" applyBorder="1" applyAlignment="1">
      <alignment vertical="center" wrapText="1"/>
    </xf>
    <xf numFmtId="0" fontId="10" fillId="0" borderId="0" xfId="2" applyFont="1" applyAlignment="1" applyProtection="1">
      <alignment wrapText="1"/>
      <protection locked="0"/>
    </xf>
    <xf numFmtId="0" fontId="12" fillId="0" borderId="0" xfId="0" applyFont="1"/>
    <xf numFmtId="0" fontId="10" fillId="0" borderId="0" xfId="0" applyFont="1"/>
    <xf numFmtId="0" fontId="11" fillId="0" borderId="0" xfId="0" applyFont="1"/>
    <xf numFmtId="0" fontId="31" fillId="0" borderId="0" xfId="0" applyFont="1"/>
    <xf numFmtId="0" fontId="24" fillId="0" borderId="0" xfId="0" applyFont="1"/>
    <xf numFmtId="49" fontId="32" fillId="5" borderId="57" xfId="0" applyNumberFormat="1" applyFont="1" applyFill="1" applyBorder="1" applyAlignment="1">
      <alignment vertical="center" wrapText="1"/>
    </xf>
    <xf numFmtId="0" fontId="11" fillId="0" borderId="0" xfId="0" applyFont="1" applyAlignment="1">
      <alignment vertical="top" wrapText="1"/>
    </xf>
    <xf numFmtId="0" fontId="33" fillId="0" borderId="0" xfId="0" applyFont="1" applyAlignment="1">
      <alignment vertical="top" wrapText="1"/>
    </xf>
    <xf numFmtId="49" fontId="2" fillId="3" borderId="16" xfId="5" applyNumberFormat="1" applyFont="1" applyFill="1" applyBorder="1" applyAlignment="1" applyProtection="1">
      <alignment horizontal="center" vertical="center"/>
      <protection locked="0"/>
    </xf>
    <xf numFmtId="0" fontId="2" fillId="0" borderId="7" xfId="5" applyFont="1" applyBorder="1" applyAlignment="1">
      <alignment horizontal="center" vertical="center"/>
    </xf>
    <xf numFmtId="0" fontId="2" fillId="0" borderId="2" xfId="10" applyFont="1" applyBorder="1"/>
    <xf numFmtId="0" fontId="2" fillId="3" borderId="7" xfId="17" applyFont="1" applyFill="1" applyBorder="1" applyAlignment="1" applyProtection="1">
      <alignment horizontal="center" vertical="center" wrapText="1"/>
      <protection locked="0"/>
    </xf>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1" fontId="2" fillId="3" borderId="7" xfId="10" applyNumberFormat="1" applyFont="1" applyFill="1" applyBorder="1" applyAlignment="1" applyProtection="1">
      <alignment horizontal="center" vertical="center"/>
      <protection locked="0"/>
    </xf>
    <xf numFmtId="164" fontId="2" fillId="5" borderId="16" xfId="7" applyNumberFormat="1" applyFont="1" applyFill="1" applyBorder="1" applyAlignment="1">
      <alignment horizontal="center" vertical="center"/>
    </xf>
    <xf numFmtId="164" fontId="2" fillId="5" borderId="7" xfId="7" applyNumberFormat="1" applyFont="1" applyFill="1" applyBorder="1" applyAlignment="1">
      <alignment horizontal="center" vertical="center"/>
    </xf>
    <xf numFmtId="164" fontId="2" fillId="5" borderId="4" xfId="7" applyNumberFormat="1" applyFont="1" applyFill="1" applyBorder="1" applyAlignment="1">
      <alignment horizontal="center" vertical="center"/>
    </xf>
    <xf numFmtId="0" fontId="0" fillId="7" borderId="0" xfId="0" applyFill="1" applyProtection="1">
      <protection locked="0"/>
    </xf>
    <xf numFmtId="0" fontId="0" fillId="7" borderId="0" xfId="0" applyFill="1" applyAlignment="1" applyProtection="1">
      <alignment wrapText="1"/>
      <protection locked="0"/>
    </xf>
    <xf numFmtId="0" fontId="0" fillId="7" borderId="0" xfId="0" applyFill="1" applyAlignment="1" applyProtection="1">
      <alignment vertical="top" wrapText="1"/>
      <protection locked="0"/>
    </xf>
    <xf numFmtId="0" fontId="0" fillId="7" borderId="0" xfId="0" applyFill="1" applyAlignment="1" applyProtection="1">
      <alignment vertical="top"/>
      <protection locked="0"/>
    </xf>
    <xf numFmtId="0" fontId="34" fillId="7" borderId="0" xfId="0" applyFont="1" applyFill="1" applyProtection="1">
      <protection locked="0"/>
    </xf>
    <xf numFmtId="0" fontId="0" fillId="7" borderId="0" xfId="0" applyFill="1" applyAlignment="1" applyProtection="1">
      <alignment vertical="center"/>
      <protection locked="0"/>
    </xf>
    <xf numFmtId="0" fontId="10" fillId="7" borderId="0" xfId="0" applyFont="1" applyFill="1" applyAlignment="1" applyProtection="1">
      <alignment vertical="top"/>
      <protection locked="0"/>
    </xf>
    <xf numFmtId="0" fontId="10" fillId="7" borderId="0" xfId="0" applyFont="1" applyFill="1" applyProtection="1">
      <protection locked="0"/>
    </xf>
    <xf numFmtId="0" fontId="10" fillId="7" borderId="0" xfId="0" applyFont="1" applyFill="1" applyAlignment="1" applyProtection="1">
      <alignment wrapText="1"/>
      <protection locked="0"/>
    </xf>
    <xf numFmtId="0" fontId="10" fillId="7" borderId="0" xfId="0" applyFont="1" applyFill="1" applyAlignment="1" applyProtection="1">
      <alignment vertical="top" wrapText="1"/>
      <protection locked="0"/>
    </xf>
    <xf numFmtId="0" fontId="10" fillId="7" borderId="0" xfId="0" applyFont="1" applyFill="1" applyAlignment="1" applyProtection="1">
      <alignment vertical="center"/>
      <protection locked="0"/>
    </xf>
    <xf numFmtId="0" fontId="11" fillId="7" borderId="0" xfId="0" applyFont="1" applyFill="1" applyAlignment="1" applyProtection="1">
      <alignment vertical="center"/>
      <protection locked="0"/>
    </xf>
    <xf numFmtId="0" fontId="2" fillId="7" borderId="0" xfId="0" applyFont="1" applyFill="1" applyProtection="1">
      <protection locked="0"/>
    </xf>
    <xf numFmtId="0" fontId="0" fillId="11" borderId="0" xfId="0" applyFill="1" applyAlignment="1">
      <alignment vertical="top" wrapText="1"/>
    </xf>
    <xf numFmtId="0" fontId="21" fillId="7" borderId="0" xfId="0" applyFont="1" applyFill="1" applyAlignment="1" applyProtection="1">
      <alignment vertical="top" wrapText="1"/>
      <protection locked="0"/>
    </xf>
    <xf numFmtId="0" fontId="21" fillId="7" borderId="0" xfId="0" applyFont="1" applyFill="1" applyAlignment="1" applyProtection="1">
      <alignment vertical="top"/>
      <protection locked="0"/>
    </xf>
    <xf numFmtId="0" fontId="21" fillId="7" borderId="0" xfId="0" applyFont="1" applyFill="1" applyAlignment="1" applyProtection="1">
      <alignment vertical="center"/>
      <protection locked="0"/>
    </xf>
    <xf numFmtId="0" fontId="10" fillId="7" borderId="0" xfId="0" applyFont="1" applyFill="1" applyAlignment="1" applyProtection="1">
      <alignment horizontal="right" vertical="top"/>
      <protection locked="0"/>
    </xf>
    <xf numFmtId="0" fontId="11" fillId="11" borderId="0" xfId="0" applyFont="1" applyFill="1" applyAlignment="1" applyProtection="1">
      <alignment vertical="top" wrapText="1"/>
      <protection locked="0"/>
    </xf>
    <xf numFmtId="164" fontId="10" fillId="7" borderId="0" xfId="0" applyNumberFormat="1" applyFont="1" applyFill="1" applyAlignment="1" applyProtection="1">
      <alignment vertical="top"/>
      <protection locked="0"/>
    </xf>
    <xf numFmtId="0" fontId="10" fillId="11" borderId="0" xfId="0" applyFont="1" applyFill="1" applyAlignment="1">
      <alignment vertical="top" wrapText="1"/>
    </xf>
    <xf numFmtId="0" fontId="0" fillId="10" borderId="0" xfId="0" applyFill="1" applyAlignment="1" applyProtection="1">
      <alignment vertical="top" wrapText="1"/>
      <protection locked="0"/>
    </xf>
    <xf numFmtId="0" fontId="0" fillId="11" borderId="0" xfId="0" applyFill="1" applyAlignment="1" applyProtection="1">
      <alignment vertical="top" wrapText="1"/>
      <protection locked="0"/>
    </xf>
    <xf numFmtId="0" fontId="2" fillId="3" borderId="7" xfId="10" applyFont="1" applyFill="1" applyBorder="1" applyAlignment="1" applyProtection="1">
      <alignment horizontal="center" vertical="center"/>
      <protection locked="0"/>
    </xf>
    <xf numFmtId="0" fontId="10" fillId="11" borderId="0" xfId="0" applyFont="1" applyFill="1"/>
    <xf numFmtId="0" fontId="11" fillId="7" borderId="0" xfId="0" applyFont="1" applyFill="1" applyProtection="1">
      <protection locked="0"/>
    </xf>
    <xf numFmtId="0" fontId="10" fillId="7" borderId="0" xfId="3" applyFont="1" applyFill="1" applyAlignment="1" applyProtection="1">
      <alignment horizontal="left" vertical="center" wrapText="1"/>
      <protection locked="0"/>
    </xf>
    <xf numFmtId="0" fontId="35" fillId="7" borderId="0" xfId="0" applyFont="1" applyFill="1" applyAlignment="1" applyProtection="1">
      <alignment vertical="top"/>
      <protection locked="0"/>
    </xf>
    <xf numFmtId="0" fontId="35" fillId="7" borderId="0" xfId="0" applyFont="1" applyFill="1" applyAlignment="1" applyProtection="1">
      <alignment vertical="top" wrapText="1"/>
      <protection locked="0"/>
    </xf>
    <xf numFmtId="0" fontId="35" fillId="7" borderId="0" xfId="0" applyFont="1" applyFill="1" applyAlignment="1" applyProtection="1">
      <alignment vertical="center"/>
      <protection locked="0"/>
    </xf>
    <xf numFmtId="165" fontId="35" fillId="7" borderId="0" xfId="0" applyNumberFormat="1" applyFont="1" applyFill="1" applyAlignment="1" applyProtection="1">
      <alignment horizontal="right" vertical="top"/>
      <protection locked="0"/>
    </xf>
    <xf numFmtId="165" fontId="35" fillId="7" borderId="0" xfId="0" applyNumberFormat="1" applyFont="1" applyFill="1" applyAlignment="1" applyProtection="1">
      <alignment vertical="top"/>
      <protection locked="0"/>
    </xf>
    <xf numFmtId="0" fontId="35" fillId="0" borderId="0" xfId="0" applyFont="1" applyAlignment="1" applyProtection="1">
      <alignment vertical="top" wrapText="1"/>
      <protection locked="0"/>
    </xf>
    <xf numFmtId="0" fontId="10" fillId="0" borderId="0" xfId="3" applyFont="1" applyAlignment="1" applyProtection="1">
      <alignment horizontal="left" vertical="center" wrapText="1"/>
      <protection locked="0"/>
    </xf>
    <xf numFmtId="0" fontId="35" fillId="0" borderId="0" xfId="0" applyFont="1" applyAlignment="1" applyProtection="1">
      <alignment vertical="top"/>
      <protection locked="0"/>
    </xf>
    <xf numFmtId="0" fontId="35" fillId="0" borderId="0" xfId="0" applyFont="1" applyAlignment="1" applyProtection="1">
      <alignment vertical="center"/>
      <protection locked="0"/>
    </xf>
    <xf numFmtId="165" fontId="35" fillId="0" borderId="0" xfId="0" applyNumberFormat="1" applyFont="1" applyAlignment="1" applyProtection="1">
      <alignment horizontal="right" vertical="top"/>
      <protection locked="0"/>
    </xf>
    <xf numFmtId="9" fontId="35" fillId="0" borderId="0" xfId="7" applyFont="1" applyAlignment="1" applyProtection="1">
      <alignment vertical="top"/>
      <protection locked="0"/>
    </xf>
    <xf numFmtId="165" fontId="35" fillId="0" borderId="0" xfId="0" applyNumberFormat="1" applyFont="1" applyAlignment="1" applyProtection="1">
      <alignment vertical="top"/>
      <protection locked="0"/>
    </xf>
    <xf numFmtId="0" fontId="28" fillId="12" borderId="0" xfId="0" applyFont="1" applyFill="1" applyAlignment="1">
      <alignment vertical="top"/>
    </xf>
    <xf numFmtId="0" fontId="28" fillId="12" borderId="0" xfId="0" applyFont="1" applyFill="1" applyAlignment="1">
      <alignment vertical="top" wrapText="1"/>
    </xf>
    <xf numFmtId="0" fontId="28" fillId="12" borderId="0" xfId="0" applyFont="1" applyFill="1" applyAlignment="1" applyProtection="1">
      <alignment vertical="top" wrapText="1"/>
      <protection locked="0"/>
    </xf>
    <xf numFmtId="0" fontId="28" fillId="12" borderId="0" xfId="0" applyFont="1" applyFill="1" applyAlignment="1" applyProtection="1">
      <alignment vertical="top"/>
      <protection locked="0"/>
    </xf>
    <xf numFmtId="0" fontId="28" fillId="12" borderId="0" xfId="0" applyFont="1" applyFill="1" applyAlignment="1">
      <alignment vertical="center"/>
    </xf>
    <xf numFmtId="0" fontId="11" fillId="12" borderId="0" xfId="0" applyFont="1" applyFill="1" applyAlignment="1">
      <alignment vertical="center"/>
    </xf>
    <xf numFmtId="0" fontId="25" fillId="12" borderId="0" xfId="0" applyFont="1" applyFill="1" applyAlignment="1">
      <alignment vertical="center"/>
    </xf>
    <xf numFmtId="0" fontId="25" fillId="12" borderId="0" xfId="0" applyFont="1" applyFill="1" applyAlignment="1" applyProtection="1">
      <alignment vertical="top"/>
      <protection locked="0"/>
    </xf>
    <xf numFmtId="165" fontId="10" fillId="12" borderId="0" xfId="0" applyNumberFormat="1" applyFont="1" applyFill="1" applyAlignment="1" applyProtection="1">
      <alignment horizontal="right" vertical="top"/>
      <protection locked="0"/>
    </xf>
    <xf numFmtId="9" fontId="10" fillId="12" borderId="0" xfId="7" applyFont="1" applyFill="1" applyAlignment="1" applyProtection="1">
      <alignment vertical="top"/>
      <protection locked="0"/>
    </xf>
    <xf numFmtId="165" fontId="10" fillId="12" borderId="0" xfId="0" applyNumberFormat="1" applyFont="1" applyFill="1" applyAlignment="1" applyProtection="1">
      <alignment vertical="top"/>
      <protection locked="0"/>
    </xf>
    <xf numFmtId="0" fontId="0" fillId="12" borderId="0" xfId="0" applyFill="1" applyAlignment="1">
      <alignment vertical="top"/>
    </xf>
    <xf numFmtId="0" fontId="0" fillId="12" borderId="0" xfId="0" applyFill="1" applyAlignment="1" applyProtection="1">
      <alignment vertical="top"/>
      <protection locked="0"/>
    </xf>
    <xf numFmtId="0" fontId="21" fillId="0" borderId="0" xfId="0" applyFont="1" applyAlignment="1" applyProtection="1">
      <alignment vertical="top" wrapText="1"/>
      <protection locked="0"/>
    </xf>
    <xf numFmtId="0" fontId="21" fillId="7" borderId="0" xfId="0" quotePrefix="1" applyFont="1" applyFill="1" applyAlignment="1" applyProtection="1">
      <alignment vertical="center"/>
      <protection locked="0"/>
    </xf>
    <xf numFmtId="0" fontId="1" fillId="9" borderId="7" xfId="17"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20">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19" xr:uid="{00000000-0005-0000-0000-000013000000}"/>
    <cellStyle name="Normal 4 2 2 3" xfId="18" xr:uid="{00000000-0005-0000-0000-000012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7"/>
  <sheetViews>
    <sheetView zoomScale="85" zoomScaleNormal="85" workbookViewId="0">
      <pane ySplit="1" topLeftCell="A298" activePane="bottomLeft" state="frozen"/>
      <selection pane="bottomLeft" activeCell="F305" sqref="F305"/>
    </sheetView>
  </sheetViews>
  <sheetFormatPr baseColWidth="10" defaultColWidth="8.83203125" defaultRowHeight="15" x14ac:dyDescent="0.2"/>
  <cols>
    <col min="1" max="1" width="21.1640625" style="20" customWidth="1"/>
    <col min="2" max="2" width="25.83203125" style="20" customWidth="1"/>
    <col min="3" max="3" width="53.83203125" style="21" customWidth="1"/>
    <col min="4" max="4" width="67.5" style="21" customWidth="1"/>
    <col min="5" max="5" width="16.83203125" style="21" customWidth="1"/>
    <col min="6" max="7" width="28" style="20" customWidth="1"/>
    <col min="8" max="8" width="15.5" style="20" customWidth="1"/>
    <col min="9" max="10" width="8.83203125" style="77" customWidth="1"/>
    <col min="11" max="11" width="14.6640625" style="77" customWidth="1"/>
    <col min="12" max="16" width="8.83203125" style="77" customWidth="1"/>
    <col min="17" max="20" width="8.83203125" style="20" customWidth="1"/>
    <col min="21" max="21" width="9.5" style="20" customWidth="1"/>
    <col min="22" max="22" width="8.83203125" style="20" customWidth="1"/>
    <col min="23" max="23" width="18.1640625" style="125" customWidth="1"/>
    <col min="24" max="24" width="18.33203125" style="111" customWidth="1"/>
    <col min="25" max="25" width="14.1640625" style="29" customWidth="1"/>
    <col min="26" max="26" width="19.6640625" style="29" customWidth="1"/>
    <col min="27" max="27" width="8.83203125" style="29" customWidth="1"/>
    <col min="28" max="28" width="8.83203125" style="20" customWidth="1"/>
    <col min="29" max="16384" width="8.83203125" style="20"/>
  </cols>
  <sheetData>
    <row r="1" spans="1:27" s="68" customFormat="1" ht="20.5" customHeight="1" thickBot="1" x14ac:dyDescent="0.25">
      <c r="A1" s="64" t="s">
        <v>0</v>
      </c>
      <c r="B1" s="64" t="s">
        <v>1</v>
      </c>
      <c r="C1" s="65" t="s">
        <v>2</v>
      </c>
      <c r="D1" s="65" t="s">
        <v>3</v>
      </c>
      <c r="E1" s="66" t="s">
        <v>4</v>
      </c>
      <c r="F1" s="64" t="s">
        <v>5</v>
      </c>
      <c r="G1" s="64" t="s">
        <v>6</v>
      </c>
      <c r="H1" s="67" t="s">
        <v>7</v>
      </c>
      <c r="I1" s="64" t="s">
        <v>8</v>
      </c>
      <c r="J1" s="64" t="s">
        <v>9</v>
      </c>
      <c r="K1" s="64" t="s">
        <v>10</v>
      </c>
      <c r="L1" s="64" t="s">
        <v>11</v>
      </c>
      <c r="M1" s="64" t="s">
        <v>12</v>
      </c>
      <c r="N1" s="64" t="s">
        <v>13</v>
      </c>
      <c r="O1" s="64" t="s">
        <v>14</v>
      </c>
      <c r="P1" s="64" t="s">
        <v>15</v>
      </c>
      <c r="U1" s="131" t="s">
        <v>16</v>
      </c>
      <c r="W1" s="132" t="s">
        <v>17</v>
      </c>
      <c r="X1" s="133" t="s">
        <v>18</v>
      </c>
      <c r="Y1" s="134" t="s">
        <v>19</v>
      </c>
      <c r="Z1" s="17" t="s">
        <v>20</v>
      </c>
      <c r="AA1" s="69"/>
    </row>
    <row r="2" spans="1:27" x14ac:dyDescent="0.2">
      <c r="A2" s="28" t="s">
        <v>21</v>
      </c>
      <c r="B2" s="28" t="s">
        <v>21</v>
      </c>
      <c r="C2" s="19"/>
      <c r="D2" s="19"/>
      <c r="E2" s="41"/>
      <c r="F2" s="28"/>
      <c r="G2" s="28"/>
      <c r="H2" s="42"/>
      <c r="I2" s="70"/>
      <c r="J2" s="70"/>
      <c r="K2" s="70"/>
      <c r="L2" s="70"/>
      <c r="M2" s="70"/>
      <c r="N2" s="70"/>
      <c r="O2" s="70"/>
      <c r="P2" s="70"/>
      <c r="W2" s="126"/>
      <c r="Y2" s="112" t="str">
        <f>IF(W2&lt;&gt;"",W2*X2,"")</f>
        <v/>
      </c>
      <c r="Z2" s="112" t="str">
        <f>IF(AND(W2&lt;&gt;"",U2="yes"),W2*X2,"")</f>
        <v/>
      </c>
    </row>
    <row r="3" spans="1:27" x14ac:dyDescent="0.2">
      <c r="A3" s="28" t="s">
        <v>22</v>
      </c>
      <c r="B3" s="28" t="s">
        <v>22</v>
      </c>
      <c r="C3" s="19"/>
      <c r="D3" s="19"/>
      <c r="E3" s="41"/>
      <c r="F3" s="28"/>
      <c r="G3" s="28"/>
      <c r="H3" s="42"/>
      <c r="I3" s="70"/>
      <c r="J3" s="70"/>
      <c r="K3" s="70"/>
      <c r="L3" s="70"/>
      <c r="M3" s="70"/>
      <c r="N3" s="70"/>
      <c r="O3" s="70"/>
      <c r="P3" s="70"/>
      <c r="W3" s="126"/>
      <c r="Y3" s="112" t="str">
        <f>IF(W3&lt;&gt;"",W3*X3,"")</f>
        <v/>
      </c>
      <c r="Z3" s="112" t="str">
        <f>IF(AND(W3&lt;&gt;"",U3="yes"),W3*X3,"")</f>
        <v/>
      </c>
    </row>
    <row r="4" spans="1:27" x14ac:dyDescent="0.2">
      <c r="A4" s="28" t="s">
        <v>23</v>
      </c>
      <c r="B4" s="28" t="s">
        <v>23</v>
      </c>
      <c r="C4" s="19"/>
      <c r="D4" s="19"/>
      <c r="E4" s="41"/>
      <c r="F4" s="28"/>
      <c r="G4" s="28"/>
      <c r="H4" s="42"/>
      <c r="I4" s="70"/>
      <c r="J4" s="70"/>
      <c r="K4" s="70"/>
      <c r="L4" s="70"/>
      <c r="M4" s="70"/>
      <c r="N4" s="70"/>
      <c r="O4" s="70"/>
      <c r="P4" s="70"/>
      <c r="W4" s="126"/>
      <c r="Y4" s="112" t="str">
        <f>IF(W4&lt;&gt;"",W4*X4,"")</f>
        <v/>
      </c>
      <c r="Z4" s="112" t="str">
        <f>IF(AND(W4&lt;&gt;"",U4="yes"),W4*X4,"")</f>
        <v/>
      </c>
    </row>
    <row r="5" spans="1:27" x14ac:dyDescent="0.2">
      <c r="A5" s="28" t="s">
        <v>24</v>
      </c>
      <c r="B5" s="28" t="s">
        <v>24</v>
      </c>
      <c r="C5" s="19"/>
      <c r="D5" s="19"/>
      <c r="E5" s="41"/>
      <c r="F5" s="28"/>
      <c r="G5" s="28"/>
      <c r="H5" s="42"/>
      <c r="I5" s="70"/>
      <c r="J5" s="70"/>
      <c r="K5" s="70"/>
      <c r="L5" s="70"/>
      <c r="M5" s="70"/>
      <c r="N5" s="70"/>
      <c r="O5" s="70"/>
      <c r="P5" s="70"/>
      <c r="W5" s="126"/>
      <c r="Y5" s="112" t="str">
        <f>IF(W5&lt;&gt;"",W5*X5,"")</f>
        <v/>
      </c>
      <c r="Z5" s="112" t="str">
        <f>IF(AND(W5&lt;&gt;"",U5="yes"),W5*X5,"")</f>
        <v/>
      </c>
    </row>
    <row r="6" spans="1:27" x14ac:dyDescent="0.2">
      <c r="A6" s="28" t="s">
        <v>25</v>
      </c>
      <c r="B6" s="28" t="s">
        <v>25</v>
      </c>
      <c r="C6" s="19"/>
      <c r="D6" s="19"/>
      <c r="E6" s="41"/>
      <c r="F6" s="28"/>
      <c r="G6" s="28"/>
      <c r="H6" s="42"/>
      <c r="I6" s="70"/>
      <c r="J6" s="70"/>
      <c r="K6" s="70"/>
      <c r="L6" s="70"/>
      <c r="M6" s="70"/>
      <c r="N6" s="70"/>
      <c r="O6" s="70"/>
      <c r="P6" s="70"/>
      <c r="W6" s="126"/>
      <c r="Y6" s="112"/>
      <c r="Z6" s="112"/>
    </row>
    <row r="7" spans="1:27" x14ac:dyDescent="0.2">
      <c r="A7" s="28" t="s">
        <v>26</v>
      </c>
      <c r="B7" s="28" t="s">
        <v>27</v>
      </c>
      <c r="C7" s="19"/>
      <c r="D7" s="19"/>
      <c r="E7" s="41"/>
      <c r="F7" s="28"/>
      <c r="G7" s="28"/>
      <c r="H7" s="42"/>
      <c r="I7" s="70"/>
      <c r="J7" s="70"/>
      <c r="K7" s="70"/>
      <c r="L7" s="70"/>
      <c r="M7" s="20"/>
      <c r="N7" s="70"/>
      <c r="O7" s="70"/>
      <c r="P7" s="70" t="s">
        <v>28</v>
      </c>
      <c r="W7" s="126"/>
      <c r="Y7" s="112"/>
      <c r="Z7" s="112"/>
    </row>
    <row r="8" spans="1:27" x14ac:dyDescent="0.2">
      <c r="A8" s="28" t="s">
        <v>29</v>
      </c>
      <c r="B8" s="28" t="s">
        <v>29</v>
      </c>
      <c r="C8" s="19"/>
      <c r="D8" s="19"/>
      <c r="E8" s="41"/>
      <c r="F8" s="28"/>
      <c r="G8" s="28"/>
      <c r="H8" s="42"/>
      <c r="I8" s="70"/>
      <c r="J8" s="70"/>
      <c r="K8" s="70"/>
      <c r="L8" s="70"/>
      <c r="M8" s="70" t="s">
        <v>30</v>
      </c>
      <c r="N8" s="70"/>
      <c r="O8" s="70" t="s">
        <v>31</v>
      </c>
      <c r="P8" s="70"/>
      <c r="W8" s="126"/>
      <c r="Y8" s="112"/>
      <c r="Z8" s="112"/>
    </row>
    <row r="9" spans="1:27" s="30" customFormat="1" ht="16" customHeight="1" x14ac:dyDescent="0.2">
      <c r="A9" s="30" t="s">
        <v>32</v>
      </c>
      <c r="B9" s="30" t="s">
        <v>33</v>
      </c>
      <c r="C9" s="31" t="s">
        <v>34</v>
      </c>
      <c r="D9" s="31" t="s">
        <v>35</v>
      </c>
      <c r="E9" s="32"/>
      <c r="H9" s="36"/>
      <c r="I9" s="71"/>
      <c r="J9" s="71"/>
      <c r="L9" s="71"/>
      <c r="M9" s="71"/>
      <c r="N9" s="71"/>
      <c r="O9" s="71"/>
      <c r="P9" s="71"/>
      <c r="W9" s="130"/>
      <c r="X9" s="116"/>
      <c r="Y9" s="115"/>
      <c r="Z9" s="115"/>
    </row>
    <row r="10" spans="1:27" ht="16" customHeight="1" x14ac:dyDescent="0.2">
      <c r="A10" s="28" t="s">
        <v>36</v>
      </c>
      <c r="B10" s="28" t="s">
        <v>37</v>
      </c>
      <c r="C10" s="19" t="s">
        <v>38</v>
      </c>
      <c r="D10" s="19" t="s">
        <v>39</v>
      </c>
      <c r="E10" s="41"/>
      <c r="F10" s="28"/>
      <c r="G10" s="28"/>
      <c r="H10" s="42"/>
      <c r="I10" s="70" t="s">
        <v>40</v>
      </c>
      <c r="J10" s="70"/>
      <c r="K10" s="70"/>
      <c r="L10" s="70"/>
      <c r="M10" s="70"/>
      <c r="N10" s="71" t="s">
        <v>41</v>
      </c>
      <c r="O10" s="70"/>
      <c r="P10" s="70"/>
      <c r="U10" s="20" t="s">
        <v>42</v>
      </c>
      <c r="W10" s="126"/>
      <c r="Y10" s="112" t="str">
        <f>IF(W10&lt;&gt;"",W10*X10,"")</f>
        <v/>
      </c>
      <c r="Z10" s="112" t="str">
        <f>IF(AND(W10&lt;&gt;"",U10="yes"),W10*X10,"")</f>
        <v/>
      </c>
    </row>
    <row r="11" spans="1:27" x14ac:dyDescent="0.2">
      <c r="A11" s="28" t="s">
        <v>26</v>
      </c>
      <c r="B11" s="28" t="s">
        <v>43</v>
      </c>
      <c r="C11" s="19"/>
      <c r="D11" s="19"/>
      <c r="E11" s="41"/>
      <c r="F11" s="28"/>
      <c r="G11" s="28"/>
      <c r="H11" s="42"/>
      <c r="I11" s="70"/>
      <c r="J11" s="70"/>
      <c r="K11" s="70"/>
      <c r="L11" s="70"/>
      <c r="M11" s="70"/>
      <c r="N11" s="70"/>
      <c r="O11" s="70"/>
      <c r="P11" s="70" t="s">
        <v>44</v>
      </c>
      <c r="U11" s="20" t="s">
        <v>42</v>
      </c>
      <c r="W11" s="126"/>
      <c r="Y11" s="112" t="str">
        <f>IF(W11&lt;&gt;"",W11*X11,"")</f>
        <v/>
      </c>
      <c r="Z11" s="112" t="str">
        <f>IF(AND(W11&lt;&gt;"",U11="yes"),W11*X11,"")</f>
        <v/>
      </c>
    </row>
    <row r="12" spans="1:27" s="30" customFormat="1" ht="16" customHeight="1" thickBot="1" x14ac:dyDescent="0.25">
      <c r="A12" s="37"/>
      <c r="B12" s="37"/>
      <c r="C12" s="38"/>
      <c r="D12" s="38"/>
      <c r="E12" s="39"/>
      <c r="F12" s="37"/>
      <c r="G12" s="37"/>
      <c r="H12" s="40"/>
      <c r="I12" s="73"/>
      <c r="J12" s="73"/>
      <c r="K12" s="73"/>
      <c r="L12" s="73"/>
      <c r="M12" s="73"/>
      <c r="N12" s="73"/>
      <c r="O12" s="73"/>
      <c r="P12" s="73"/>
      <c r="W12" s="126"/>
      <c r="X12" s="111"/>
      <c r="Y12" s="112"/>
      <c r="Z12" s="112"/>
      <c r="AA12" s="29"/>
    </row>
    <row r="13" spans="1:27" ht="257" customHeight="1" thickTop="1" x14ac:dyDescent="0.2">
      <c r="A13" s="28" t="s">
        <v>45</v>
      </c>
      <c r="B13" s="28" t="s">
        <v>46</v>
      </c>
      <c r="C13" s="146" t="s">
        <v>47</v>
      </c>
      <c r="D13" s="146" t="s">
        <v>48</v>
      </c>
      <c r="E13" s="41"/>
      <c r="F13" s="28" t="s">
        <v>49</v>
      </c>
      <c r="G13" s="28" t="s">
        <v>50</v>
      </c>
      <c r="H13" s="42"/>
      <c r="I13" s="70" t="s">
        <v>51</v>
      </c>
      <c r="J13" s="70"/>
      <c r="K13" s="70"/>
      <c r="L13" s="70"/>
      <c r="M13" s="70"/>
      <c r="N13" s="70"/>
      <c r="O13" s="70"/>
      <c r="P13" s="70"/>
      <c r="U13" s="20" t="s">
        <v>52</v>
      </c>
      <c r="W13" s="126">
        <v>50.822540283203118</v>
      </c>
      <c r="Y13" s="112">
        <f t="shared" ref="Y13:Y30" si="0">IF(W13&lt;&gt;"",W13*X13,"")</f>
        <v>0</v>
      </c>
      <c r="Z13" s="112" t="str">
        <f t="shared" ref="Z13:Z32" si="1">IF(AND(W13&lt;&gt;"",U13="yes"),W13*X13,"")</f>
        <v/>
      </c>
    </row>
    <row r="14" spans="1:27" ht="16" customHeight="1" x14ac:dyDescent="0.2">
      <c r="A14" s="28" t="s">
        <v>53</v>
      </c>
      <c r="B14" s="28" t="s">
        <v>54</v>
      </c>
      <c r="C14" s="19" t="s">
        <v>55</v>
      </c>
      <c r="D14" s="19" t="s">
        <v>56</v>
      </c>
      <c r="E14" s="41"/>
      <c r="F14" s="28"/>
      <c r="G14" s="28"/>
      <c r="H14" s="42"/>
      <c r="I14" s="70" t="s">
        <v>51</v>
      </c>
      <c r="J14" s="70"/>
      <c r="K14" s="70"/>
      <c r="L14" s="70"/>
      <c r="M14" s="70"/>
      <c r="N14" s="70"/>
      <c r="O14" s="70"/>
      <c r="P14" s="70"/>
      <c r="U14" s="20" t="s">
        <v>42</v>
      </c>
      <c r="W14" s="126">
        <v>3.5</v>
      </c>
      <c r="X14" s="111">
        <f>1</f>
        <v>1</v>
      </c>
      <c r="Y14" s="112">
        <f t="shared" si="0"/>
        <v>3.5</v>
      </c>
      <c r="Z14" s="112">
        <f t="shared" si="1"/>
        <v>3.5</v>
      </c>
    </row>
    <row r="15" spans="1:27" s="29" customFormat="1" ht="16" customHeight="1" x14ac:dyDescent="0.2">
      <c r="A15" s="33" t="s">
        <v>45</v>
      </c>
      <c r="B15" s="33" t="s">
        <v>57</v>
      </c>
      <c r="C15" s="34" t="s">
        <v>58</v>
      </c>
      <c r="D15" s="34" t="s">
        <v>59</v>
      </c>
      <c r="E15" s="51"/>
      <c r="F15" s="33"/>
      <c r="G15" s="33"/>
      <c r="H15" s="53"/>
      <c r="I15" s="72" t="s">
        <v>51</v>
      </c>
      <c r="J15" s="72"/>
      <c r="K15" s="72"/>
      <c r="L15" s="72"/>
      <c r="M15" s="72" t="s">
        <v>60</v>
      </c>
      <c r="N15" s="72"/>
      <c r="O15" s="72"/>
      <c r="P15" s="72"/>
      <c r="U15" s="29" t="s">
        <v>52</v>
      </c>
      <c r="W15" s="126">
        <v>0</v>
      </c>
      <c r="X15" s="111">
        <v>1</v>
      </c>
      <c r="Y15" s="112">
        <f t="shared" si="0"/>
        <v>0</v>
      </c>
      <c r="Z15" s="112" t="str">
        <f t="shared" si="1"/>
        <v/>
      </c>
    </row>
    <row r="16" spans="1:27" s="29" customFormat="1" ht="16" customHeight="1" thickBot="1" x14ac:dyDescent="0.25">
      <c r="A16" s="43"/>
      <c r="B16" s="43"/>
      <c r="C16" s="44"/>
      <c r="D16" s="44"/>
      <c r="E16" s="45"/>
      <c r="F16" s="43"/>
      <c r="G16" s="43"/>
      <c r="H16" s="46"/>
      <c r="I16" s="74"/>
      <c r="J16" s="74"/>
      <c r="K16" s="74"/>
      <c r="L16" s="74"/>
      <c r="M16" s="74"/>
      <c r="N16" s="74"/>
      <c r="O16" s="74"/>
      <c r="P16" s="74"/>
      <c r="W16" s="126"/>
      <c r="X16" s="111"/>
      <c r="Y16" s="112" t="str">
        <f t="shared" si="0"/>
        <v/>
      </c>
      <c r="Z16" s="112" t="str">
        <f t="shared" si="1"/>
        <v/>
      </c>
    </row>
    <row r="17" spans="1:27" s="26" customFormat="1" ht="17" customHeight="1" thickTop="1" x14ac:dyDescent="0.2">
      <c r="A17" s="23" t="s">
        <v>61</v>
      </c>
      <c r="B17" s="23" t="s">
        <v>62</v>
      </c>
      <c r="C17" s="47" t="s">
        <v>63</v>
      </c>
      <c r="D17" s="47" t="s">
        <v>64</v>
      </c>
      <c r="E17" s="24"/>
      <c r="F17" s="23"/>
      <c r="G17" s="23"/>
      <c r="H17" s="25"/>
      <c r="I17" s="75" t="s">
        <v>51</v>
      </c>
      <c r="J17" s="75"/>
      <c r="K17" s="75"/>
      <c r="L17" s="75"/>
      <c r="M17" s="75" t="s">
        <v>65</v>
      </c>
      <c r="N17" s="75"/>
      <c r="O17" s="75"/>
      <c r="P17" s="75"/>
      <c r="U17" s="20" t="s">
        <v>42</v>
      </c>
      <c r="W17" s="126"/>
      <c r="X17" s="111"/>
      <c r="Y17" s="112" t="str">
        <f t="shared" si="0"/>
        <v/>
      </c>
      <c r="Z17" s="112" t="str">
        <f t="shared" si="1"/>
        <v/>
      </c>
      <c r="AA17" s="27"/>
    </row>
    <row r="18" spans="1:27" s="30" customFormat="1" x14ac:dyDescent="0.2">
      <c r="C18" s="31"/>
      <c r="D18" s="31"/>
      <c r="E18" s="32"/>
      <c r="H18" s="36"/>
      <c r="I18" s="71"/>
      <c r="J18" s="71"/>
      <c r="K18" s="71"/>
      <c r="L18" s="71"/>
      <c r="M18" s="71"/>
      <c r="N18" s="71"/>
      <c r="O18" s="71"/>
      <c r="P18" s="71"/>
      <c r="W18" s="126"/>
      <c r="X18" s="29"/>
      <c r="Y18" s="112" t="str">
        <f t="shared" si="0"/>
        <v/>
      </c>
      <c r="Z18" s="112" t="str">
        <f t="shared" si="1"/>
        <v/>
      </c>
      <c r="AA18" s="29"/>
    </row>
    <row r="19" spans="1:27" s="30" customFormat="1" ht="16" customHeight="1" x14ac:dyDescent="0.2">
      <c r="A19" s="33" t="s">
        <v>66</v>
      </c>
      <c r="B19" s="33" t="s">
        <v>67</v>
      </c>
      <c r="C19" s="34" t="s">
        <v>68</v>
      </c>
      <c r="D19" s="34" t="s">
        <v>69</v>
      </c>
      <c r="E19" s="32"/>
      <c r="F19" s="29" t="s">
        <v>70</v>
      </c>
      <c r="G19" s="28" t="s">
        <v>71</v>
      </c>
      <c r="H19" s="36"/>
      <c r="I19" s="72" t="s">
        <v>40</v>
      </c>
      <c r="J19" s="72"/>
      <c r="K19" s="72"/>
      <c r="L19" s="72"/>
      <c r="M19" s="72"/>
      <c r="N19" s="72"/>
      <c r="O19" s="72"/>
      <c r="P19" s="72"/>
      <c r="U19" s="29" t="s">
        <v>42</v>
      </c>
      <c r="W19" s="126">
        <v>10</v>
      </c>
      <c r="X19" s="111">
        <f>1</f>
        <v>1</v>
      </c>
      <c r="Y19" s="112">
        <f t="shared" si="0"/>
        <v>10</v>
      </c>
      <c r="Z19" s="112">
        <f t="shared" si="1"/>
        <v>10</v>
      </c>
      <c r="AA19" s="29"/>
    </row>
    <row r="20" spans="1:27" s="30" customFormat="1" ht="16" customHeight="1" x14ac:dyDescent="0.2">
      <c r="A20" s="33" t="s">
        <v>66</v>
      </c>
      <c r="B20" s="33" t="s">
        <v>72</v>
      </c>
      <c r="C20" s="34" t="s">
        <v>73</v>
      </c>
      <c r="D20" s="34" t="s">
        <v>74</v>
      </c>
      <c r="E20" s="32"/>
      <c r="F20" s="29" t="s">
        <v>75</v>
      </c>
      <c r="G20" s="28" t="s">
        <v>76</v>
      </c>
      <c r="H20" s="36"/>
      <c r="I20" s="72" t="s">
        <v>40</v>
      </c>
      <c r="J20" s="72"/>
      <c r="K20" s="72"/>
      <c r="L20" s="72"/>
      <c r="M20" s="72"/>
      <c r="N20" s="72"/>
      <c r="O20" s="72"/>
      <c r="P20" s="72"/>
      <c r="U20" s="29" t="s">
        <v>42</v>
      </c>
      <c r="W20" s="126">
        <v>10</v>
      </c>
      <c r="X20" s="111">
        <f>1</f>
        <v>1</v>
      </c>
      <c r="Y20" s="112">
        <f t="shared" si="0"/>
        <v>10</v>
      </c>
      <c r="Z20" s="112">
        <f t="shared" si="1"/>
        <v>10</v>
      </c>
      <c r="AA20" s="29"/>
    </row>
    <row r="21" spans="1:27" s="30" customFormat="1" x14ac:dyDescent="0.2">
      <c r="C21" s="31"/>
      <c r="D21" s="31"/>
      <c r="E21" s="32"/>
      <c r="H21" s="36"/>
      <c r="I21" s="71"/>
      <c r="J21" s="71"/>
      <c r="K21" s="71"/>
      <c r="L21" s="71"/>
      <c r="M21" s="71"/>
      <c r="N21" s="71"/>
      <c r="O21" s="71"/>
      <c r="P21" s="71"/>
      <c r="W21" s="126"/>
      <c r="X21" s="111">
        <f>1</f>
        <v>1</v>
      </c>
      <c r="Y21" s="112" t="str">
        <f t="shared" si="0"/>
        <v/>
      </c>
      <c r="Z21" s="112" t="str">
        <f t="shared" si="1"/>
        <v/>
      </c>
      <c r="AA21" s="29"/>
    </row>
    <row r="22" spans="1:27" ht="16" customHeight="1" x14ac:dyDescent="0.2">
      <c r="A22" s="28" t="s">
        <v>77</v>
      </c>
      <c r="B22" s="28" t="s">
        <v>78</v>
      </c>
      <c r="C22" s="19" t="s">
        <v>79</v>
      </c>
      <c r="D22" s="19" t="s">
        <v>80</v>
      </c>
      <c r="E22" s="51"/>
      <c r="F22" s="33" t="s">
        <v>81</v>
      </c>
      <c r="G22" s="28" t="s">
        <v>82</v>
      </c>
      <c r="H22" s="42"/>
      <c r="I22" s="70" t="s">
        <v>40</v>
      </c>
      <c r="J22" s="70"/>
      <c r="K22" s="70" t="s">
        <v>83</v>
      </c>
      <c r="L22" s="70"/>
      <c r="M22" s="70"/>
      <c r="N22" s="70"/>
      <c r="O22" s="70"/>
      <c r="P22" s="70"/>
      <c r="U22" s="20" t="s">
        <v>42</v>
      </c>
      <c r="W22" s="126">
        <v>13.753072738647459</v>
      </c>
      <c r="X22" s="111">
        <f>1</f>
        <v>1</v>
      </c>
      <c r="Y22" s="112">
        <f t="shared" si="0"/>
        <v>13.753072738647459</v>
      </c>
      <c r="Z22" s="112">
        <f t="shared" si="1"/>
        <v>13.753072738647459</v>
      </c>
    </row>
    <row r="23" spans="1:27" x14ac:dyDescent="0.2">
      <c r="E23" s="41"/>
      <c r="H23" s="42"/>
      <c r="W23" s="126"/>
      <c r="X23" s="111">
        <f>1</f>
        <v>1</v>
      </c>
      <c r="Y23" s="112" t="str">
        <f t="shared" si="0"/>
        <v/>
      </c>
      <c r="Z23" s="112" t="str">
        <f t="shared" si="1"/>
        <v/>
      </c>
    </row>
    <row r="24" spans="1:27" s="30" customFormat="1" ht="16" customHeight="1" x14ac:dyDescent="0.2">
      <c r="A24" s="30" t="s">
        <v>84</v>
      </c>
      <c r="B24" s="30" t="s">
        <v>85</v>
      </c>
      <c r="C24" s="31" t="s">
        <v>86</v>
      </c>
      <c r="D24" s="31" t="s">
        <v>87</v>
      </c>
      <c r="E24" s="32"/>
      <c r="F24" s="30" t="s">
        <v>88</v>
      </c>
      <c r="G24" s="30" t="s">
        <v>89</v>
      </c>
      <c r="H24" s="36"/>
      <c r="I24" s="71" t="s">
        <v>40</v>
      </c>
      <c r="J24" s="71"/>
      <c r="K24" s="71"/>
      <c r="L24" s="71"/>
      <c r="M24" s="71"/>
      <c r="N24" s="71"/>
      <c r="O24" s="71"/>
      <c r="P24" s="71"/>
      <c r="U24" s="30" t="s">
        <v>52</v>
      </c>
      <c r="W24" s="126">
        <v>2.1173560619354248</v>
      </c>
      <c r="X24" s="111">
        <f>1</f>
        <v>1</v>
      </c>
      <c r="Y24" s="112">
        <f t="shared" si="0"/>
        <v>2.1173560619354248</v>
      </c>
      <c r="Z24" s="112" t="str">
        <f t="shared" si="1"/>
        <v/>
      </c>
      <c r="AA24" s="29"/>
    </row>
    <row r="25" spans="1:27" s="30" customFormat="1" x14ac:dyDescent="0.2">
      <c r="C25" s="31"/>
      <c r="D25" s="31"/>
      <c r="E25" s="32"/>
      <c r="H25" s="36"/>
      <c r="I25" s="71"/>
      <c r="J25" s="71"/>
      <c r="K25" s="71"/>
      <c r="L25" s="78"/>
      <c r="M25" s="71"/>
      <c r="N25" s="71"/>
      <c r="O25" s="71"/>
      <c r="P25" s="71"/>
      <c r="W25" s="126"/>
      <c r="X25" s="111">
        <f>1</f>
        <v>1</v>
      </c>
      <c r="Y25" s="112" t="str">
        <f t="shared" si="0"/>
        <v/>
      </c>
      <c r="Z25" s="112" t="str">
        <f t="shared" si="1"/>
        <v/>
      </c>
      <c r="AA25" s="29"/>
    </row>
    <row r="26" spans="1:27" s="30" customFormat="1" x14ac:dyDescent="0.2">
      <c r="C26" s="31"/>
      <c r="D26" s="31"/>
      <c r="E26" s="32"/>
      <c r="H26" s="36"/>
      <c r="I26" s="71"/>
      <c r="J26" s="71"/>
      <c r="K26" s="71"/>
      <c r="L26" s="78"/>
      <c r="M26" s="71"/>
      <c r="N26" s="71"/>
      <c r="O26" s="71"/>
      <c r="P26" s="71"/>
      <c r="W26" s="126"/>
      <c r="X26" s="111">
        <f>1</f>
        <v>1</v>
      </c>
      <c r="Y26" s="112" t="str">
        <f t="shared" si="0"/>
        <v/>
      </c>
      <c r="Z26" s="112" t="str">
        <f t="shared" si="1"/>
        <v/>
      </c>
      <c r="AA26" s="29"/>
    </row>
    <row r="27" spans="1:27" ht="16" customHeight="1" x14ac:dyDescent="0.2">
      <c r="A27" s="28" t="s">
        <v>90</v>
      </c>
      <c r="B27" s="28" t="s">
        <v>91</v>
      </c>
      <c r="C27" s="19" t="s">
        <v>2996</v>
      </c>
      <c r="D27" s="19" t="s">
        <v>2993</v>
      </c>
      <c r="E27" s="41"/>
      <c r="F27" s="28" t="s">
        <v>92</v>
      </c>
      <c r="G27" s="28" t="s">
        <v>93</v>
      </c>
      <c r="H27" s="42"/>
      <c r="I27" s="70" t="s">
        <v>40</v>
      </c>
      <c r="J27" s="70" t="s">
        <v>94</v>
      </c>
      <c r="K27" s="70"/>
      <c r="L27" s="79"/>
      <c r="M27" s="70"/>
      <c r="N27" s="70"/>
      <c r="O27" s="70"/>
      <c r="P27" s="70"/>
      <c r="U27" s="20" t="s">
        <v>42</v>
      </c>
      <c r="W27" s="126">
        <v>8.8000000000000007</v>
      </c>
      <c r="X27" s="111">
        <f>1</f>
        <v>1</v>
      </c>
      <c r="Y27" s="112">
        <f t="shared" si="0"/>
        <v>8.8000000000000007</v>
      </c>
      <c r="Z27" s="112">
        <f t="shared" si="1"/>
        <v>8.8000000000000007</v>
      </c>
    </row>
    <row r="28" spans="1:27" x14ac:dyDescent="0.2">
      <c r="A28" s="28" t="s">
        <v>26</v>
      </c>
      <c r="B28" s="28" t="s">
        <v>95</v>
      </c>
      <c r="C28" s="19"/>
      <c r="D28" s="19"/>
      <c r="E28" s="41"/>
      <c r="F28" s="28"/>
      <c r="G28" s="28"/>
      <c r="H28" s="42"/>
      <c r="I28" s="70"/>
      <c r="J28" s="70"/>
      <c r="K28" s="70"/>
      <c r="L28" s="70"/>
      <c r="M28" s="70"/>
      <c r="N28" s="70"/>
      <c r="O28" s="70"/>
      <c r="P28" s="70" t="s">
        <v>96</v>
      </c>
      <c r="U28" s="20" t="s">
        <v>42</v>
      </c>
      <c r="W28" s="126"/>
      <c r="X28" s="111">
        <f>1</f>
        <v>1</v>
      </c>
      <c r="Y28" s="112" t="str">
        <f t="shared" si="0"/>
        <v/>
      </c>
      <c r="Z28" s="112" t="str">
        <f t="shared" si="1"/>
        <v/>
      </c>
    </row>
    <row r="29" spans="1:27" ht="16" customHeight="1" x14ac:dyDescent="0.2">
      <c r="A29" s="28" t="s">
        <v>97</v>
      </c>
      <c r="B29" s="28" t="s">
        <v>98</v>
      </c>
      <c r="C29" s="19" t="s">
        <v>2995</v>
      </c>
      <c r="D29" s="19" t="s">
        <v>2994</v>
      </c>
      <c r="E29" s="41"/>
      <c r="F29" s="28"/>
      <c r="G29" s="19"/>
      <c r="H29" s="42"/>
      <c r="I29" s="70" t="s">
        <v>40</v>
      </c>
      <c r="J29" s="70" t="s">
        <v>94</v>
      </c>
      <c r="K29" s="70"/>
      <c r="L29" s="70"/>
      <c r="M29" s="70"/>
      <c r="N29" s="70" t="s">
        <v>99</v>
      </c>
      <c r="O29" s="70"/>
      <c r="P29" s="70"/>
      <c r="U29" s="20" t="s">
        <v>42</v>
      </c>
      <c r="W29" s="126">
        <v>10.4</v>
      </c>
      <c r="X29" s="111">
        <f>1</f>
        <v>1</v>
      </c>
      <c r="Y29" s="112">
        <f t="shared" si="0"/>
        <v>10.4</v>
      </c>
      <c r="Z29" s="112">
        <f t="shared" si="1"/>
        <v>10.4</v>
      </c>
    </row>
    <row r="30" spans="1:27" x14ac:dyDescent="0.2">
      <c r="A30" s="28" t="s">
        <v>26</v>
      </c>
      <c r="B30" s="28" t="s">
        <v>100</v>
      </c>
      <c r="C30" s="19"/>
      <c r="D30" s="19"/>
      <c r="E30" s="41"/>
      <c r="F30" s="28"/>
      <c r="G30" s="28"/>
      <c r="H30" s="42"/>
      <c r="I30" s="70"/>
      <c r="J30" s="70"/>
      <c r="K30" s="70"/>
      <c r="L30" s="70"/>
      <c r="M30" s="70"/>
      <c r="N30" s="70"/>
      <c r="O30" s="70"/>
      <c r="P30" s="70" t="s">
        <v>101</v>
      </c>
      <c r="U30" s="20" t="s">
        <v>42</v>
      </c>
      <c r="W30" s="126"/>
      <c r="X30" s="111">
        <f>1</f>
        <v>1</v>
      </c>
      <c r="Y30" s="112" t="str">
        <f t="shared" si="0"/>
        <v/>
      </c>
      <c r="Z30" s="112" t="str">
        <f t="shared" si="1"/>
        <v/>
      </c>
    </row>
    <row r="31" spans="1:27" s="284" customFormat="1" ht="15.75" customHeight="1" x14ac:dyDescent="0.2">
      <c r="A31" s="281" t="s">
        <v>102</v>
      </c>
      <c r="B31" s="281" t="s">
        <v>103</v>
      </c>
      <c r="C31" s="282" t="s">
        <v>104</v>
      </c>
      <c r="D31" s="282" t="s">
        <v>105</v>
      </c>
      <c r="E31" s="283"/>
      <c r="G31" s="285" t="s">
        <v>106</v>
      </c>
      <c r="I31" s="286" t="b">
        <v>1</v>
      </c>
      <c r="J31" s="286"/>
      <c r="K31" s="286"/>
      <c r="L31" s="286"/>
      <c r="M31" s="286"/>
      <c r="N31" s="286"/>
      <c r="O31" s="286"/>
      <c r="P31" s="286"/>
      <c r="W31" s="141">
        <v>10</v>
      </c>
      <c r="X31" s="142">
        <f>1</f>
        <v>1</v>
      </c>
      <c r="Y31" s="143">
        <v>10</v>
      </c>
      <c r="Z31" s="143" t="str">
        <f t="shared" si="1"/>
        <v/>
      </c>
      <c r="AA31" s="287"/>
    </row>
    <row r="32" spans="1:27" s="21" customFormat="1" ht="48" customHeight="1" x14ac:dyDescent="0.2">
      <c r="A32" s="19" t="s">
        <v>107</v>
      </c>
      <c r="B32" s="19" t="s">
        <v>108</v>
      </c>
      <c r="C32" s="19" t="s">
        <v>109</v>
      </c>
      <c r="D32" s="19" t="s">
        <v>110</v>
      </c>
      <c r="E32" s="41"/>
      <c r="F32" s="28" t="s">
        <v>111</v>
      </c>
      <c r="G32" s="28" t="s">
        <v>112</v>
      </c>
      <c r="H32" s="41"/>
      <c r="I32" s="18" t="s">
        <v>40</v>
      </c>
      <c r="J32" s="18"/>
      <c r="K32" s="18"/>
      <c r="L32" s="18"/>
      <c r="M32" s="18"/>
      <c r="N32" s="18"/>
      <c r="O32" s="18"/>
      <c r="P32" s="18"/>
      <c r="U32" s="21" t="s">
        <v>42</v>
      </c>
      <c r="W32" s="129">
        <v>31.372377395629879</v>
      </c>
      <c r="X32" s="111">
        <f>1</f>
        <v>1</v>
      </c>
      <c r="Y32" s="113">
        <f t="shared" ref="Y32:Y37" si="2">IF(W32&lt;&gt;"",W32*X32,"")</f>
        <v>31.372377395629879</v>
      </c>
      <c r="Z32" s="113">
        <f t="shared" si="1"/>
        <v>31.372377395629879</v>
      </c>
      <c r="AA32" s="22"/>
    </row>
    <row r="33" spans="1:27" s="21" customFormat="1" ht="48" customHeight="1" x14ac:dyDescent="0.2">
      <c r="A33" s="30" t="s">
        <v>102</v>
      </c>
      <c r="B33" s="30" t="s">
        <v>113</v>
      </c>
      <c r="C33" s="31" t="s">
        <v>114</v>
      </c>
      <c r="D33" s="268" t="s">
        <v>115</v>
      </c>
      <c r="E33" s="41"/>
      <c r="F33" s="30" t="s">
        <v>116</v>
      </c>
      <c r="G33" s="30" t="s">
        <v>117</v>
      </c>
      <c r="H33" s="41"/>
      <c r="I33" s="71" t="s">
        <v>40</v>
      </c>
      <c r="J33" s="18"/>
      <c r="K33" s="18"/>
      <c r="L33" s="18"/>
      <c r="M33" s="18"/>
      <c r="N33" s="18"/>
      <c r="O33" s="18"/>
      <c r="P33" s="18"/>
      <c r="U33" s="30" t="s">
        <v>52</v>
      </c>
      <c r="V33" s="30"/>
      <c r="W33" s="126">
        <v>17</v>
      </c>
      <c r="X33" s="111">
        <f>1</f>
        <v>1</v>
      </c>
      <c r="Y33" s="112">
        <f t="shared" si="2"/>
        <v>17</v>
      </c>
      <c r="Z33" s="113"/>
      <c r="AA33" s="22"/>
    </row>
    <row r="34" spans="1:27" x14ac:dyDescent="0.2">
      <c r="E34" s="41"/>
      <c r="H34" s="42"/>
      <c r="W34" s="126"/>
      <c r="X34" s="111">
        <f>1</f>
        <v>1</v>
      </c>
      <c r="Y34" s="112" t="str">
        <f t="shared" si="2"/>
        <v/>
      </c>
      <c r="Z34" s="112" t="str">
        <f>IF(AND(W34&lt;&gt;"",U34="yes"),W34*X34,"")</f>
        <v/>
      </c>
    </row>
    <row r="35" spans="1:27" s="29" customFormat="1" ht="16" customHeight="1" thickBot="1" x14ac:dyDescent="0.25">
      <c r="A35" s="49" t="s">
        <v>118</v>
      </c>
      <c r="B35" s="49"/>
      <c r="C35" s="50"/>
      <c r="D35" s="50"/>
      <c r="E35" s="45"/>
      <c r="F35" s="49"/>
      <c r="G35" s="49"/>
      <c r="H35" s="46"/>
      <c r="I35" s="81"/>
      <c r="J35" s="81"/>
      <c r="K35" s="81"/>
      <c r="L35" s="81"/>
      <c r="M35" s="81"/>
      <c r="N35" s="81"/>
      <c r="O35" s="81"/>
      <c r="P35" s="81"/>
      <c r="W35" s="126"/>
      <c r="X35" s="111"/>
      <c r="Y35" s="112" t="str">
        <f t="shared" si="2"/>
        <v/>
      </c>
      <c r="Z35" s="112" t="str">
        <f>IF(AND(W35&lt;&gt;"",U35="yes"),W35*X35,"")</f>
        <v/>
      </c>
    </row>
    <row r="36" spans="1:27" s="26" customFormat="1" ht="17" customHeight="1" thickTop="1" x14ac:dyDescent="0.2">
      <c r="A36" s="23" t="s">
        <v>61</v>
      </c>
      <c r="B36" s="23" t="s">
        <v>119</v>
      </c>
      <c r="C36" s="47" t="s">
        <v>120</v>
      </c>
      <c r="D36" s="47" t="s">
        <v>121</v>
      </c>
      <c r="E36" s="24"/>
      <c r="F36" s="23"/>
      <c r="G36" s="23"/>
      <c r="H36" s="25"/>
      <c r="I36" s="75" t="s">
        <v>51</v>
      </c>
      <c r="J36" s="75"/>
      <c r="K36" s="75"/>
      <c r="L36" s="75"/>
      <c r="M36" s="75" t="s">
        <v>122</v>
      </c>
      <c r="N36" s="75"/>
      <c r="O36" s="75"/>
      <c r="P36" s="75"/>
      <c r="U36" s="20" t="s">
        <v>42</v>
      </c>
      <c r="W36" s="126"/>
      <c r="X36" s="111"/>
      <c r="Y36" s="112" t="str">
        <f t="shared" si="2"/>
        <v/>
      </c>
      <c r="Z36" s="112" t="str">
        <f>IF(AND(W36&lt;&gt;"",U36="yes"),W36*X36,"")</f>
        <v/>
      </c>
      <c r="AA36" s="27"/>
    </row>
    <row r="37" spans="1:27" x14ac:dyDescent="0.2">
      <c r="E37" s="41"/>
      <c r="H37" s="42"/>
      <c r="W37" s="126"/>
      <c r="X37" s="111">
        <f>1</f>
        <v>1</v>
      </c>
      <c r="Y37" s="112" t="str">
        <f t="shared" si="2"/>
        <v/>
      </c>
      <c r="Z37" s="112" t="str">
        <f>IF(AND(W37&lt;&gt;"",U37="yes"),W37*X37,"")</f>
        <v/>
      </c>
    </row>
    <row r="38" spans="1:27" ht="16" customHeight="1" x14ac:dyDescent="0.2">
      <c r="A38" s="28" t="s">
        <v>102</v>
      </c>
      <c r="B38" s="28" t="s">
        <v>123</v>
      </c>
      <c r="C38" s="19" t="s">
        <v>124</v>
      </c>
      <c r="D38" s="19" t="s">
        <v>125</v>
      </c>
      <c r="E38" s="41"/>
      <c r="F38" s="28"/>
      <c r="G38" s="28"/>
      <c r="H38" s="42"/>
      <c r="I38" s="70" t="s">
        <v>40</v>
      </c>
      <c r="J38" s="70"/>
      <c r="K38" s="70"/>
      <c r="L38" s="70"/>
      <c r="M38" s="70"/>
      <c r="N38" s="70"/>
      <c r="O38" s="70"/>
      <c r="P38" s="70"/>
      <c r="U38" s="20" t="s">
        <v>42</v>
      </c>
      <c r="W38" s="126"/>
      <c r="Y38" s="112"/>
      <c r="Z38" s="112"/>
    </row>
    <row r="39" spans="1:27" ht="16" customHeight="1" x14ac:dyDescent="0.2">
      <c r="A39" s="28" t="s">
        <v>84</v>
      </c>
      <c r="B39" s="28" t="s">
        <v>126</v>
      </c>
      <c r="C39" s="19" t="s">
        <v>127</v>
      </c>
      <c r="D39" s="19" t="s">
        <v>128</v>
      </c>
      <c r="E39" s="41"/>
      <c r="F39" s="28"/>
      <c r="G39" s="28"/>
      <c r="H39" s="42"/>
      <c r="I39" s="70" t="s">
        <v>40</v>
      </c>
      <c r="J39" s="70"/>
      <c r="K39" s="70"/>
      <c r="L39" s="70"/>
      <c r="M39" s="70" t="s">
        <v>129</v>
      </c>
      <c r="N39" s="70"/>
      <c r="O39" s="70"/>
      <c r="P39" s="70"/>
      <c r="U39" s="20" t="s">
        <v>42</v>
      </c>
      <c r="W39" s="126">
        <v>10.08573150634766</v>
      </c>
      <c r="X39" s="111">
        <f>1</f>
        <v>1</v>
      </c>
      <c r="Y39" s="112">
        <f t="shared" ref="Y39:Y64" si="3">IF(W39&lt;&gt;"",W39*X39,"")</f>
        <v>10.08573150634766</v>
      </c>
      <c r="Z39" s="112">
        <f t="shared" ref="Z39:Z64" si="4">IF(AND(W39&lt;&gt;"",U39="yes"),W39*X39,"")</f>
        <v>10.08573150634766</v>
      </c>
    </row>
    <row r="40" spans="1:27" x14ac:dyDescent="0.2">
      <c r="E40" s="41"/>
      <c r="H40" s="42"/>
      <c r="W40" s="126"/>
      <c r="X40" s="111">
        <f>1</f>
        <v>1</v>
      </c>
      <c r="Y40" s="112" t="str">
        <f t="shared" si="3"/>
        <v/>
      </c>
      <c r="Z40" s="112" t="str">
        <f t="shared" si="4"/>
        <v/>
      </c>
    </row>
    <row r="41" spans="1:27" ht="16" customHeight="1" x14ac:dyDescent="0.2">
      <c r="A41" s="28" t="s">
        <v>130</v>
      </c>
      <c r="B41" s="28" t="s">
        <v>131</v>
      </c>
      <c r="C41" s="19" t="s">
        <v>132</v>
      </c>
      <c r="D41" s="19" t="s">
        <v>133</v>
      </c>
      <c r="E41" s="41"/>
      <c r="F41" s="28"/>
      <c r="G41" s="28"/>
      <c r="H41" s="42"/>
      <c r="I41" s="70" t="s">
        <v>40</v>
      </c>
      <c r="J41" s="70"/>
      <c r="K41" s="70"/>
      <c r="L41" s="70"/>
      <c r="M41" s="70"/>
      <c r="N41" s="70"/>
      <c r="O41" s="70"/>
      <c r="P41" s="70"/>
      <c r="U41" s="20" t="s">
        <v>42</v>
      </c>
      <c r="W41" s="126">
        <v>12.894034385681151</v>
      </c>
      <c r="X41" s="111">
        <f>1</f>
        <v>1</v>
      </c>
      <c r="Y41" s="112">
        <f t="shared" si="3"/>
        <v>12.894034385681151</v>
      </c>
      <c r="Z41" s="112">
        <f t="shared" si="4"/>
        <v>12.894034385681151</v>
      </c>
    </row>
    <row r="42" spans="1:27" x14ac:dyDescent="0.2">
      <c r="E42" s="41"/>
      <c r="H42" s="42"/>
      <c r="W42" s="126"/>
      <c r="X42" s="111">
        <f>1</f>
        <v>1</v>
      </c>
      <c r="Y42" s="112" t="str">
        <f t="shared" si="3"/>
        <v/>
      </c>
      <c r="Z42" s="112" t="str">
        <f t="shared" si="4"/>
        <v/>
      </c>
    </row>
    <row r="43" spans="1:27" s="29" customFormat="1" ht="16" customHeight="1" x14ac:dyDescent="0.2">
      <c r="A43" s="29" t="s">
        <v>134</v>
      </c>
      <c r="B43" s="29" t="s">
        <v>135</v>
      </c>
      <c r="C43" s="22" t="s">
        <v>136</v>
      </c>
      <c r="D43" s="22" t="s">
        <v>137</v>
      </c>
      <c r="E43" s="51"/>
      <c r="F43" s="52"/>
      <c r="G43" s="52"/>
      <c r="H43" s="53"/>
      <c r="I43" s="77" t="s">
        <v>40</v>
      </c>
      <c r="J43" s="82"/>
      <c r="K43" s="82"/>
      <c r="L43" s="82"/>
      <c r="M43" s="82"/>
      <c r="N43" s="82"/>
      <c r="O43" s="82"/>
      <c r="P43" s="82"/>
      <c r="U43" s="29" t="s">
        <v>42</v>
      </c>
      <c r="W43" s="126">
        <v>15.265829086303709</v>
      </c>
      <c r="X43" s="111">
        <f>1</f>
        <v>1</v>
      </c>
      <c r="Y43" s="112">
        <f t="shared" si="3"/>
        <v>15.265829086303709</v>
      </c>
      <c r="Z43" s="112">
        <f t="shared" si="4"/>
        <v>15.265829086303709</v>
      </c>
    </row>
    <row r="44" spans="1:27" s="29" customFormat="1" ht="16" customHeight="1" x14ac:dyDescent="0.2">
      <c r="A44" s="29" t="s">
        <v>138</v>
      </c>
      <c r="B44" s="29" t="s">
        <v>139</v>
      </c>
      <c r="C44" s="22" t="s">
        <v>140</v>
      </c>
      <c r="D44" s="22" t="s">
        <v>141</v>
      </c>
      <c r="E44" s="51"/>
      <c r="F44" s="52"/>
      <c r="G44" s="52"/>
      <c r="H44" s="53"/>
      <c r="I44" s="77" t="s">
        <v>40</v>
      </c>
      <c r="J44" s="82"/>
      <c r="K44" s="82"/>
      <c r="L44" s="82"/>
      <c r="M44" s="82"/>
      <c r="N44" s="82"/>
      <c r="O44" s="82"/>
      <c r="P44" s="82"/>
      <c r="U44" s="29" t="s">
        <v>42</v>
      </c>
      <c r="W44" s="126">
        <v>15.12371826171875</v>
      </c>
      <c r="X44" s="111">
        <f>1</f>
        <v>1</v>
      </c>
      <c r="Y44" s="112">
        <f t="shared" si="3"/>
        <v>15.12371826171875</v>
      </c>
      <c r="Z44" s="112">
        <f t="shared" si="4"/>
        <v>15.12371826171875</v>
      </c>
    </row>
    <row r="45" spans="1:27" s="29" customFormat="1" ht="16" customHeight="1" x14ac:dyDescent="0.2">
      <c r="A45" s="29" t="s">
        <v>142</v>
      </c>
      <c r="B45" s="29" t="s">
        <v>143</v>
      </c>
      <c r="C45" s="22" t="s">
        <v>144</v>
      </c>
      <c r="D45" s="22" t="s">
        <v>145</v>
      </c>
      <c r="E45" s="51"/>
      <c r="F45" s="52"/>
      <c r="G45" s="52"/>
      <c r="H45" s="53"/>
      <c r="I45" s="77" t="s">
        <v>40</v>
      </c>
      <c r="J45" s="82"/>
      <c r="K45" s="82"/>
      <c r="L45" s="82"/>
      <c r="M45" s="82"/>
      <c r="N45" s="82"/>
      <c r="O45" s="82"/>
      <c r="P45" s="82"/>
      <c r="U45" s="29" t="s">
        <v>42</v>
      </c>
      <c r="W45" s="126">
        <v>13.76013851165771</v>
      </c>
      <c r="X45" s="111">
        <f>1</f>
        <v>1</v>
      </c>
      <c r="Y45" s="112">
        <f t="shared" si="3"/>
        <v>13.76013851165771</v>
      </c>
      <c r="Z45" s="112">
        <f t="shared" si="4"/>
        <v>13.76013851165771</v>
      </c>
    </row>
    <row r="46" spans="1:27" s="29" customFormat="1" x14ac:dyDescent="0.2">
      <c r="C46" s="22"/>
      <c r="D46" s="22"/>
      <c r="E46" s="51"/>
      <c r="F46" s="52"/>
      <c r="G46" s="52"/>
      <c r="H46" s="53"/>
      <c r="I46" s="82"/>
      <c r="J46" s="82"/>
      <c r="K46" s="82"/>
      <c r="L46" s="82"/>
      <c r="M46" s="82"/>
      <c r="N46" s="82"/>
      <c r="O46" s="82"/>
      <c r="P46" s="82"/>
      <c r="W46" s="126"/>
      <c r="X46" s="111">
        <f>1</f>
        <v>1</v>
      </c>
      <c r="Y46" s="112" t="str">
        <f t="shared" si="3"/>
        <v/>
      </c>
      <c r="Z46" s="112" t="str">
        <f t="shared" si="4"/>
        <v/>
      </c>
    </row>
    <row r="47" spans="1:27" s="30" customFormat="1" ht="32" customHeight="1" x14ac:dyDescent="0.2">
      <c r="A47" s="30" t="s">
        <v>146</v>
      </c>
      <c r="B47" s="30" t="s">
        <v>147</v>
      </c>
      <c r="C47" s="31" t="s">
        <v>148</v>
      </c>
      <c r="D47" s="31" t="s">
        <v>149</v>
      </c>
      <c r="E47" s="32"/>
      <c r="F47" s="30" t="s">
        <v>150</v>
      </c>
      <c r="G47" s="30" t="s">
        <v>151</v>
      </c>
      <c r="H47" s="36"/>
      <c r="I47" s="71" t="s">
        <v>40</v>
      </c>
      <c r="J47" s="71"/>
      <c r="K47" s="71"/>
      <c r="L47" s="71"/>
      <c r="M47" s="71"/>
      <c r="N47" s="71"/>
      <c r="O47" s="71"/>
      <c r="P47" s="71"/>
      <c r="U47" s="30" t="s">
        <v>52</v>
      </c>
      <c r="W47" s="126">
        <v>30.646188735961911</v>
      </c>
      <c r="X47" s="111">
        <f>1</f>
        <v>1</v>
      </c>
      <c r="Y47" s="112">
        <f t="shared" si="3"/>
        <v>30.646188735961911</v>
      </c>
      <c r="Z47" s="112" t="str">
        <f t="shared" si="4"/>
        <v/>
      </c>
      <c r="AA47" s="29"/>
    </row>
    <row r="48" spans="1:27" s="30" customFormat="1" ht="16" customHeight="1" x14ac:dyDescent="0.2">
      <c r="A48" s="30" t="s">
        <v>77</v>
      </c>
      <c r="B48" s="30" t="s">
        <v>152</v>
      </c>
      <c r="C48" s="31" t="s">
        <v>153</v>
      </c>
      <c r="D48" s="31" t="s">
        <v>154</v>
      </c>
      <c r="E48" s="32"/>
      <c r="F48" s="30" t="s">
        <v>155</v>
      </c>
      <c r="G48" s="30" t="s">
        <v>156</v>
      </c>
      <c r="H48" s="36"/>
      <c r="I48" s="71" t="s">
        <v>40</v>
      </c>
      <c r="J48" s="71"/>
      <c r="K48" s="71" t="s">
        <v>157</v>
      </c>
      <c r="L48" s="71"/>
      <c r="M48" s="71"/>
      <c r="N48" s="71"/>
      <c r="O48" s="71"/>
      <c r="P48" s="71"/>
      <c r="U48" s="30" t="s">
        <v>52</v>
      </c>
      <c r="W48" s="126">
        <v>15.21184825897217</v>
      </c>
      <c r="X48" s="111">
        <f>1</f>
        <v>1</v>
      </c>
      <c r="Y48" s="112">
        <f t="shared" si="3"/>
        <v>15.21184825897217</v>
      </c>
      <c r="Z48" s="112" t="str">
        <f t="shared" si="4"/>
        <v/>
      </c>
      <c r="AA48" s="29"/>
    </row>
    <row r="49" spans="1:27" s="30" customFormat="1" ht="16" customHeight="1" x14ac:dyDescent="0.2">
      <c r="A49" s="30" t="s">
        <v>158</v>
      </c>
      <c r="B49" s="30" t="s">
        <v>159</v>
      </c>
      <c r="C49" s="31" t="s">
        <v>160</v>
      </c>
      <c r="D49" s="31" t="s">
        <v>161</v>
      </c>
      <c r="E49" s="32"/>
      <c r="F49" s="30" t="s">
        <v>162</v>
      </c>
      <c r="G49" s="30" t="s">
        <v>163</v>
      </c>
      <c r="H49" s="36"/>
      <c r="I49" s="71" t="s">
        <v>40</v>
      </c>
      <c r="J49" s="71"/>
      <c r="K49" s="71" t="s">
        <v>164</v>
      </c>
      <c r="L49" s="71"/>
      <c r="M49" s="71"/>
      <c r="N49" s="71"/>
      <c r="O49" s="71"/>
      <c r="P49" s="71"/>
      <c r="U49" s="30" t="s">
        <v>52</v>
      </c>
      <c r="W49" s="126">
        <v>17</v>
      </c>
      <c r="X49" s="111">
        <f>1</f>
        <v>1</v>
      </c>
      <c r="Y49" s="112">
        <f t="shared" si="3"/>
        <v>17</v>
      </c>
      <c r="Z49" s="112" t="str">
        <f t="shared" si="4"/>
        <v/>
      </c>
      <c r="AA49" s="29"/>
    </row>
    <row r="50" spans="1:27" s="30" customFormat="1" ht="32" customHeight="1" x14ac:dyDescent="0.2">
      <c r="A50" s="30" t="s">
        <v>165</v>
      </c>
      <c r="B50" s="30" t="s">
        <v>166</v>
      </c>
      <c r="C50" s="31" t="s">
        <v>167</v>
      </c>
      <c r="D50" s="31" t="s">
        <v>168</v>
      </c>
      <c r="E50" s="32"/>
      <c r="F50" s="30" t="s">
        <v>162</v>
      </c>
      <c r="H50" s="36"/>
      <c r="I50" s="71" t="s">
        <v>40</v>
      </c>
      <c r="J50" s="71"/>
      <c r="K50" s="71" t="s">
        <v>164</v>
      </c>
      <c r="L50" s="71"/>
      <c r="M50" s="71"/>
      <c r="N50" s="71"/>
      <c r="O50" s="71"/>
      <c r="P50" s="71"/>
      <c r="U50" s="30" t="s">
        <v>52</v>
      </c>
      <c r="W50" s="126">
        <v>17</v>
      </c>
      <c r="X50" s="111">
        <f>1</f>
        <v>1</v>
      </c>
      <c r="Y50" s="112">
        <f t="shared" si="3"/>
        <v>17</v>
      </c>
      <c r="Z50" s="112" t="str">
        <f t="shared" si="4"/>
        <v/>
      </c>
      <c r="AA50" s="29"/>
    </row>
    <row r="51" spans="1:27" s="30" customFormat="1" ht="16" customHeight="1" x14ac:dyDescent="0.2">
      <c r="A51" s="30" t="s">
        <v>169</v>
      </c>
      <c r="B51" s="30" t="s">
        <v>170</v>
      </c>
      <c r="C51" s="31" t="s">
        <v>171</v>
      </c>
      <c r="D51" s="31" t="s">
        <v>172</v>
      </c>
      <c r="E51" s="32"/>
      <c r="H51" s="36"/>
      <c r="I51" s="71" t="s">
        <v>40</v>
      </c>
      <c r="J51" s="71"/>
      <c r="K51" s="71"/>
      <c r="L51" s="71"/>
      <c r="M51" s="71"/>
      <c r="N51" s="71"/>
      <c r="O51" s="71"/>
      <c r="P51" s="71"/>
      <c r="U51" s="30" t="s">
        <v>52</v>
      </c>
      <c r="W51" s="126">
        <v>17</v>
      </c>
      <c r="X51" s="111">
        <f>1</f>
        <v>1</v>
      </c>
      <c r="Y51" s="112">
        <f t="shared" si="3"/>
        <v>17</v>
      </c>
      <c r="Z51" s="112" t="str">
        <f t="shared" si="4"/>
        <v/>
      </c>
      <c r="AA51" s="29"/>
    </row>
    <row r="52" spans="1:27" s="30" customFormat="1" ht="16" customHeight="1" x14ac:dyDescent="0.2">
      <c r="A52" s="30" t="s">
        <v>173</v>
      </c>
      <c r="B52" s="30" t="s">
        <v>174</v>
      </c>
      <c r="C52" s="31" t="s">
        <v>175</v>
      </c>
      <c r="D52" s="31" t="s">
        <v>176</v>
      </c>
      <c r="E52" s="32"/>
      <c r="H52" s="36"/>
      <c r="I52" s="71" t="s">
        <v>40</v>
      </c>
      <c r="J52" s="71"/>
      <c r="K52" s="71"/>
      <c r="L52" s="71"/>
      <c r="M52" s="71"/>
      <c r="N52" s="71"/>
      <c r="O52" s="71"/>
      <c r="P52" s="71"/>
      <c r="U52" s="30" t="s">
        <v>52</v>
      </c>
      <c r="W52" s="126">
        <v>8.2288064956665039</v>
      </c>
      <c r="X52" s="111">
        <f>1</f>
        <v>1</v>
      </c>
      <c r="Y52" s="112">
        <f t="shared" si="3"/>
        <v>8.2288064956665039</v>
      </c>
      <c r="Z52" s="112" t="str">
        <f t="shared" si="4"/>
        <v/>
      </c>
      <c r="AA52" s="29"/>
    </row>
    <row r="53" spans="1:27" s="30" customFormat="1" x14ac:dyDescent="0.2">
      <c r="C53" s="31"/>
      <c r="D53" s="31"/>
      <c r="E53" s="32"/>
      <c r="H53" s="36"/>
      <c r="I53" s="71"/>
      <c r="J53" s="71"/>
      <c r="K53" s="71"/>
      <c r="L53" s="71"/>
      <c r="M53" s="71"/>
      <c r="N53" s="71"/>
      <c r="O53" s="71"/>
      <c r="P53" s="71"/>
      <c r="W53" s="126"/>
      <c r="X53" s="111">
        <f>1</f>
        <v>1</v>
      </c>
      <c r="Y53" s="112" t="str">
        <f t="shared" si="3"/>
        <v/>
      </c>
      <c r="Z53" s="112" t="str">
        <f t="shared" si="4"/>
        <v/>
      </c>
      <c r="AA53" s="29"/>
    </row>
    <row r="54" spans="1:27" ht="16" customHeight="1" thickBot="1" x14ac:dyDescent="0.25">
      <c r="A54" s="54" t="s">
        <v>118</v>
      </c>
      <c r="B54" s="54"/>
      <c r="C54" s="55"/>
      <c r="D54" s="55"/>
      <c r="E54" s="62"/>
      <c r="F54" s="54"/>
      <c r="G54" s="54"/>
      <c r="H54" s="63"/>
      <c r="I54" s="83"/>
      <c r="J54" s="83"/>
      <c r="K54" s="83"/>
      <c r="L54" s="83"/>
      <c r="M54" s="83"/>
      <c r="N54" s="83"/>
      <c r="O54" s="83"/>
      <c r="P54" s="83"/>
      <c r="W54" s="126"/>
      <c r="X54" s="111">
        <f>1</f>
        <v>1</v>
      </c>
      <c r="Y54" s="112" t="str">
        <f t="shared" si="3"/>
        <v/>
      </c>
      <c r="Z54" s="112" t="str">
        <f t="shared" si="4"/>
        <v/>
      </c>
    </row>
    <row r="55" spans="1:27" s="26" customFormat="1" ht="17" customHeight="1" thickTop="1" x14ac:dyDescent="0.2">
      <c r="A55" s="35" t="s">
        <v>61</v>
      </c>
      <c r="B55" s="35" t="s">
        <v>177</v>
      </c>
      <c r="C55" s="56" t="s">
        <v>178</v>
      </c>
      <c r="D55" s="56" t="s">
        <v>178</v>
      </c>
      <c r="E55" s="119"/>
      <c r="F55" s="35"/>
      <c r="G55" s="35"/>
      <c r="H55" s="120"/>
      <c r="I55" s="84" t="s">
        <v>51</v>
      </c>
      <c r="J55" s="84"/>
      <c r="K55" s="84"/>
      <c r="L55" s="84"/>
      <c r="M55" s="84" t="s">
        <v>122</v>
      </c>
      <c r="N55" s="84"/>
      <c r="O55" s="84"/>
      <c r="P55" s="84"/>
      <c r="U55" s="20" t="s">
        <v>42</v>
      </c>
      <c r="W55" s="126"/>
      <c r="X55" s="111">
        <f>1</f>
        <v>1</v>
      </c>
      <c r="Y55" s="112" t="str">
        <f t="shared" si="3"/>
        <v/>
      </c>
      <c r="Z55" s="112" t="str">
        <f t="shared" si="4"/>
        <v/>
      </c>
      <c r="AA55" s="27"/>
    </row>
    <row r="56" spans="1:27" x14ac:dyDescent="0.2">
      <c r="E56" s="41"/>
      <c r="H56" s="42"/>
      <c r="W56" s="126"/>
      <c r="X56" s="111">
        <f>1</f>
        <v>1</v>
      </c>
      <c r="Y56" s="112" t="str">
        <f t="shared" si="3"/>
        <v/>
      </c>
      <c r="Z56" s="112" t="str">
        <f t="shared" si="4"/>
        <v/>
      </c>
    </row>
    <row r="57" spans="1:27" ht="32" customHeight="1" x14ac:dyDescent="0.2">
      <c r="A57" s="33" t="s">
        <v>179</v>
      </c>
      <c r="B57" s="33" t="s">
        <v>180</v>
      </c>
      <c r="C57" s="34" t="s">
        <v>181</v>
      </c>
      <c r="D57" s="34" t="s">
        <v>182</v>
      </c>
      <c r="E57" s="51"/>
      <c r="F57" s="29" t="s">
        <v>183</v>
      </c>
      <c r="G57" s="20" t="s">
        <v>184</v>
      </c>
      <c r="H57" s="53"/>
      <c r="I57" s="72" t="s">
        <v>40</v>
      </c>
      <c r="J57" s="72" t="s">
        <v>185</v>
      </c>
      <c r="K57" s="72"/>
      <c r="L57" s="72"/>
      <c r="M57" s="72"/>
      <c r="N57" s="72"/>
      <c r="O57" s="72"/>
      <c r="P57" s="72"/>
      <c r="U57" s="20" t="s">
        <v>42</v>
      </c>
      <c r="W57" s="126">
        <v>36.928733825683587</v>
      </c>
      <c r="X57" s="111">
        <f>1</f>
        <v>1</v>
      </c>
      <c r="Y57" s="112">
        <f t="shared" si="3"/>
        <v>36.928733825683587</v>
      </c>
      <c r="Z57" s="112">
        <f t="shared" si="4"/>
        <v>36.928733825683587</v>
      </c>
    </row>
    <row r="58" spans="1:27" x14ac:dyDescent="0.2">
      <c r="A58" s="33" t="s">
        <v>26</v>
      </c>
      <c r="B58" s="33" t="s">
        <v>186</v>
      </c>
      <c r="C58" s="34"/>
      <c r="D58" s="34"/>
      <c r="E58" s="51"/>
      <c r="F58" s="29"/>
      <c r="G58" s="29"/>
      <c r="H58" s="53"/>
      <c r="I58" s="72"/>
      <c r="J58" s="72"/>
      <c r="K58" s="72"/>
      <c r="L58" s="72"/>
      <c r="M58" s="72"/>
      <c r="N58" s="72"/>
      <c r="O58" s="72"/>
      <c r="P58" s="72" t="s">
        <v>187</v>
      </c>
      <c r="U58" s="20" t="s">
        <v>42</v>
      </c>
      <c r="W58" s="126"/>
      <c r="X58" s="111">
        <f>1</f>
        <v>1</v>
      </c>
      <c r="Y58" s="112" t="str">
        <f t="shared" si="3"/>
        <v/>
      </c>
      <c r="Z58" s="112" t="str">
        <f t="shared" si="4"/>
        <v/>
      </c>
    </row>
    <row r="59" spans="1:27" ht="32" customHeight="1" x14ac:dyDescent="0.2">
      <c r="A59" s="33" t="s">
        <v>102</v>
      </c>
      <c r="B59" s="33" t="s">
        <v>188</v>
      </c>
      <c r="C59" s="34" t="s">
        <v>189</v>
      </c>
      <c r="D59" s="34" t="s">
        <v>190</v>
      </c>
      <c r="E59" s="51"/>
      <c r="F59" s="29"/>
      <c r="G59" s="29"/>
      <c r="H59" s="53"/>
      <c r="I59" s="72" t="s">
        <v>40</v>
      </c>
      <c r="J59" s="72"/>
      <c r="K59" s="72"/>
      <c r="L59" s="72"/>
      <c r="M59" s="72" t="s">
        <v>191</v>
      </c>
      <c r="N59" s="72"/>
      <c r="O59" s="72"/>
      <c r="P59" s="72"/>
      <c r="U59" s="20" t="s">
        <v>42</v>
      </c>
      <c r="W59" s="126">
        <v>0</v>
      </c>
      <c r="X59" s="111">
        <f>1</f>
        <v>1</v>
      </c>
      <c r="Y59" s="112">
        <f t="shared" si="3"/>
        <v>0</v>
      </c>
      <c r="Z59" s="112">
        <f t="shared" si="4"/>
        <v>0</v>
      </c>
    </row>
    <row r="60" spans="1:27" ht="32" customHeight="1" x14ac:dyDescent="0.2">
      <c r="A60" s="33" t="s">
        <v>102</v>
      </c>
      <c r="B60" s="33" t="s">
        <v>192</v>
      </c>
      <c r="C60" s="34" t="s">
        <v>193</v>
      </c>
      <c r="D60" s="34" t="s">
        <v>194</v>
      </c>
      <c r="E60" s="51"/>
      <c r="F60" s="29"/>
      <c r="G60" s="29"/>
      <c r="H60" s="53"/>
      <c r="I60" s="72" t="s">
        <v>40</v>
      </c>
      <c r="J60" s="72"/>
      <c r="K60" s="72"/>
      <c r="L60" s="72"/>
      <c r="M60" s="72" t="s">
        <v>195</v>
      </c>
      <c r="N60" s="72"/>
      <c r="O60" s="72"/>
      <c r="P60" s="72"/>
      <c r="U60" s="20" t="s">
        <v>42</v>
      </c>
      <c r="W60" s="126">
        <v>0</v>
      </c>
      <c r="X60" s="111">
        <f>1</f>
        <v>1</v>
      </c>
      <c r="Y60" s="112">
        <f t="shared" si="3"/>
        <v>0</v>
      </c>
      <c r="Z60" s="112">
        <f t="shared" si="4"/>
        <v>0</v>
      </c>
    </row>
    <row r="61" spans="1:27" ht="32" customHeight="1" x14ac:dyDescent="0.2">
      <c r="A61" s="33" t="s">
        <v>102</v>
      </c>
      <c r="B61" s="33" t="s">
        <v>196</v>
      </c>
      <c r="C61" s="34" t="s">
        <v>197</v>
      </c>
      <c r="D61" s="34" t="s">
        <v>198</v>
      </c>
      <c r="E61" s="51"/>
      <c r="F61" s="29"/>
      <c r="G61" s="29"/>
      <c r="H61" s="53"/>
      <c r="I61" s="72" t="s">
        <v>40</v>
      </c>
      <c r="J61" s="72"/>
      <c r="K61" s="72"/>
      <c r="L61" s="72"/>
      <c r="M61" s="72" t="s">
        <v>199</v>
      </c>
      <c r="N61" s="72"/>
      <c r="O61" s="72"/>
      <c r="P61" s="72"/>
      <c r="U61" s="20" t="s">
        <v>42</v>
      </c>
      <c r="W61" s="126">
        <v>0</v>
      </c>
      <c r="X61" s="111">
        <f>1</f>
        <v>1</v>
      </c>
      <c r="Y61" s="112">
        <f t="shared" si="3"/>
        <v>0</v>
      </c>
      <c r="Z61" s="112">
        <f t="shared" si="4"/>
        <v>0</v>
      </c>
    </row>
    <row r="62" spans="1:27" x14ac:dyDescent="0.2">
      <c r="E62" s="41"/>
      <c r="H62" s="42"/>
      <c r="W62" s="126"/>
      <c r="X62" s="111">
        <f>1</f>
        <v>1</v>
      </c>
      <c r="Y62" s="112" t="str">
        <f t="shared" si="3"/>
        <v/>
      </c>
      <c r="Z62" s="112" t="str">
        <f t="shared" si="4"/>
        <v/>
      </c>
    </row>
    <row r="63" spans="1:27" s="30" customFormat="1" ht="32" customHeight="1" x14ac:dyDescent="0.2">
      <c r="A63" s="30" t="s">
        <v>200</v>
      </c>
      <c r="B63" s="30" t="s">
        <v>201</v>
      </c>
      <c r="C63" s="31" t="s">
        <v>202</v>
      </c>
      <c r="D63" s="31" t="s">
        <v>203</v>
      </c>
      <c r="E63" s="32"/>
      <c r="F63" s="30" t="s">
        <v>204</v>
      </c>
      <c r="G63" s="30" t="s">
        <v>205</v>
      </c>
      <c r="H63" s="36"/>
      <c r="I63" s="71" t="s">
        <v>40</v>
      </c>
      <c r="J63" s="71"/>
      <c r="K63" s="71" t="s">
        <v>206</v>
      </c>
      <c r="L63" s="71"/>
      <c r="M63" s="71" t="s">
        <v>207</v>
      </c>
      <c r="N63" s="71"/>
      <c r="O63" s="71"/>
      <c r="P63" s="71"/>
      <c r="U63" s="30" t="s">
        <v>52</v>
      </c>
      <c r="W63" s="126">
        <v>40.047317504882812</v>
      </c>
      <c r="X63" s="111">
        <f>1</f>
        <v>1</v>
      </c>
      <c r="Y63" s="112">
        <f t="shared" si="3"/>
        <v>40.047317504882812</v>
      </c>
      <c r="Z63" s="112" t="str">
        <f t="shared" si="4"/>
        <v/>
      </c>
      <c r="AA63" s="29"/>
    </row>
    <row r="64" spans="1:27" s="30" customFormat="1" ht="16" customHeight="1" x14ac:dyDescent="0.2">
      <c r="A64" s="30" t="s">
        <v>208</v>
      </c>
      <c r="B64" s="30" t="s">
        <v>209</v>
      </c>
      <c r="C64" s="30" t="s">
        <v>210</v>
      </c>
      <c r="D64" s="31" t="s">
        <v>211</v>
      </c>
      <c r="E64" s="36"/>
      <c r="F64" s="30" t="s">
        <v>212</v>
      </c>
      <c r="G64" s="30" t="s">
        <v>213</v>
      </c>
      <c r="H64" s="36"/>
      <c r="I64" s="71" t="s">
        <v>51</v>
      </c>
      <c r="J64" s="71"/>
      <c r="K64" s="71"/>
      <c r="L64" s="71"/>
      <c r="M64" s="71" t="s">
        <v>214</v>
      </c>
      <c r="N64" s="71"/>
      <c r="O64" s="71"/>
      <c r="P64" s="71"/>
      <c r="U64" s="30" t="s">
        <v>52</v>
      </c>
      <c r="W64" s="126">
        <v>3.6870110034942631</v>
      </c>
      <c r="X64" s="111">
        <f>1</f>
        <v>1</v>
      </c>
      <c r="Y64" s="112">
        <f t="shared" si="3"/>
        <v>3.6870110034942631</v>
      </c>
      <c r="Z64" s="112" t="str">
        <f t="shared" si="4"/>
        <v/>
      </c>
      <c r="AA64" s="29"/>
    </row>
    <row r="65" spans="1:27" x14ac:dyDescent="0.2">
      <c r="D65" s="31"/>
      <c r="E65" s="36"/>
      <c r="G65" s="30"/>
      <c r="H65" s="36"/>
    </row>
    <row r="66" spans="1:27" s="33" customFormat="1" ht="16" customHeight="1" x14ac:dyDescent="0.2">
      <c r="A66" s="33" t="s">
        <v>215</v>
      </c>
      <c r="B66" s="33" t="s">
        <v>216</v>
      </c>
      <c r="C66" s="33" t="s">
        <v>217</v>
      </c>
      <c r="D66" s="34" t="s">
        <v>218</v>
      </c>
      <c r="E66" s="53"/>
      <c r="H66" s="53"/>
      <c r="I66" s="72" t="s">
        <v>40</v>
      </c>
      <c r="J66" s="72"/>
      <c r="K66" s="72"/>
      <c r="L66" s="72"/>
      <c r="M66" s="72" t="s">
        <v>207</v>
      </c>
      <c r="N66" s="72"/>
      <c r="O66" s="72"/>
      <c r="P66" s="72"/>
      <c r="W66" s="127"/>
      <c r="X66" s="144"/>
      <c r="Y66" s="145"/>
      <c r="Z66" s="145"/>
    </row>
    <row r="67" spans="1:27" s="33" customFormat="1" ht="16" customHeight="1" x14ac:dyDescent="0.2">
      <c r="A67" s="33" t="s">
        <v>219</v>
      </c>
      <c r="B67" s="33" t="s">
        <v>220</v>
      </c>
      <c r="C67" s="33" t="s">
        <v>221</v>
      </c>
      <c r="D67" s="34" t="s">
        <v>222</v>
      </c>
      <c r="E67" s="53"/>
      <c r="H67" s="53"/>
      <c r="I67" s="72" t="s">
        <v>40</v>
      </c>
      <c r="J67" s="72"/>
      <c r="K67" s="72"/>
      <c r="L67" s="72"/>
      <c r="M67" s="72" t="s">
        <v>207</v>
      </c>
      <c r="N67" s="72"/>
      <c r="O67" s="72"/>
      <c r="P67" s="72"/>
      <c r="W67" s="127"/>
      <c r="X67" s="144"/>
      <c r="Y67" s="145"/>
      <c r="Z67" s="145"/>
    </row>
    <row r="68" spans="1:27" x14ac:dyDescent="0.2">
      <c r="E68" s="41"/>
      <c r="H68" s="42"/>
      <c r="W68" s="126"/>
      <c r="X68" s="111">
        <f>1</f>
        <v>1</v>
      </c>
      <c r="Y68" s="112" t="str">
        <f t="shared" ref="Y68:Y79" si="5">IF(W68&lt;&gt;"",W68*X68,"")</f>
        <v/>
      </c>
      <c r="Z68" s="112" t="str">
        <f t="shared" ref="Z68:Z79" si="6">IF(AND(W68&lt;&gt;"",U68="yes"),W68*X68,"")</f>
        <v/>
      </c>
    </row>
    <row r="69" spans="1:27" ht="32" customHeight="1" x14ac:dyDescent="0.2">
      <c r="A69" s="33" t="s">
        <v>223</v>
      </c>
      <c r="B69" s="33" t="s">
        <v>224</v>
      </c>
      <c r="C69" s="34" t="s">
        <v>225</v>
      </c>
      <c r="D69" s="34" t="s">
        <v>226</v>
      </c>
      <c r="E69" s="51"/>
      <c r="F69" s="33"/>
      <c r="G69" s="33"/>
      <c r="H69" s="53"/>
      <c r="I69" s="72" t="s">
        <v>40</v>
      </c>
      <c r="J69" s="72"/>
      <c r="K69" s="72"/>
      <c r="L69" s="72"/>
      <c r="M69" s="72" t="s">
        <v>207</v>
      </c>
      <c r="N69" s="72"/>
      <c r="O69" s="72"/>
      <c r="P69" s="72"/>
      <c r="U69" s="20" t="s">
        <v>42</v>
      </c>
      <c r="W69" s="126">
        <v>27.242166519165039</v>
      </c>
      <c r="X69" s="111">
        <f>1</f>
        <v>1</v>
      </c>
      <c r="Y69" s="112">
        <f t="shared" si="5"/>
        <v>27.242166519165039</v>
      </c>
      <c r="Z69" s="112">
        <f t="shared" si="6"/>
        <v>27.242166519165039</v>
      </c>
    </row>
    <row r="70" spans="1:27" x14ac:dyDescent="0.2">
      <c r="D70" s="22"/>
      <c r="E70" s="41"/>
      <c r="H70" s="42"/>
      <c r="W70" s="126"/>
      <c r="X70" s="111">
        <f>1</f>
        <v>1</v>
      </c>
      <c r="Y70" s="112" t="str">
        <f t="shared" si="5"/>
        <v/>
      </c>
      <c r="Z70" s="112" t="str">
        <f t="shared" si="6"/>
        <v/>
      </c>
    </row>
    <row r="71" spans="1:27" ht="32" customHeight="1" x14ac:dyDescent="0.2">
      <c r="A71" s="33" t="s">
        <v>227</v>
      </c>
      <c r="B71" s="33" t="s">
        <v>228</v>
      </c>
      <c r="C71" s="34" t="s">
        <v>229</v>
      </c>
      <c r="D71" s="34" t="s">
        <v>230</v>
      </c>
      <c r="E71" s="51"/>
      <c r="F71" s="29" t="s">
        <v>231</v>
      </c>
      <c r="G71" s="29" t="s">
        <v>232</v>
      </c>
      <c r="H71" s="53"/>
      <c r="I71" s="72" t="s">
        <v>40</v>
      </c>
      <c r="J71" s="72" t="s">
        <v>185</v>
      </c>
      <c r="K71" s="72"/>
      <c r="L71" s="72"/>
      <c r="M71" s="72" t="s">
        <v>207</v>
      </c>
      <c r="N71" s="72" t="s">
        <v>233</v>
      </c>
      <c r="O71" s="72"/>
      <c r="P71" s="72"/>
      <c r="U71" s="20" t="s">
        <v>42</v>
      </c>
      <c r="W71" s="126">
        <v>25.308004379272461</v>
      </c>
      <c r="X71" s="111">
        <f>1</f>
        <v>1</v>
      </c>
      <c r="Y71" s="112">
        <f t="shared" si="5"/>
        <v>25.308004379272461</v>
      </c>
      <c r="Z71" s="112">
        <f t="shared" si="6"/>
        <v>25.308004379272461</v>
      </c>
    </row>
    <row r="72" spans="1:27" x14ac:dyDescent="0.2">
      <c r="A72" s="33" t="s">
        <v>26</v>
      </c>
      <c r="B72" s="33" t="s">
        <v>234</v>
      </c>
      <c r="C72" s="34"/>
      <c r="D72" s="34"/>
      <c r="E72" s="51"/>
      <c r="F72" s="29"/>
      <c r="G72" s="29"/>
      <c r="H72" s="53"/>
      <c r="I72" s="72"/>
      <c r="J72" s="72"/>
      <c r="K72" s="72"/>
      <c r="L72" s="72"/>
      <c r="M72" s="72"/>
      <c r="N72" s="72"/>
      <c r="O72" s="72"/>
      <c r="P72" s="72" t="s">
        <v>235</v>
      </c>
      <c r="U72" s="20" t="s">
        <v>42</v>
      </c>
      <c r="W72" s="126"/>
      <c r="X72" s="111">
        <f>1</f>
        <v>1</v>
      </c>
      <c r="Y72" s="112" t="str">
        <f t="shared" si="5"/>
        <v/>
      </c>
      <c r="Z72" s="112" t="str">
        <f t="shared" si="6"/>
        <v/>
      </c>
    </row>
    <row r="73" spans="1:27" ht="32" customHeight="1" x14ac:dyDescent="0.2">
      <c r="A73" s="33" t="s">
        <v>102</v>
      </c>
      <c r="B73" s="33" t="s">
        <v>236</v>
      </c>
      <c r="C73" s="34" t="s">
        <v>189</v>
      </c>
      <c r="D73" s="269" t="s">
        <v>190</v>
      </c>
      <c r="E73" s="51"/>
      <c r="F73" s="29"/>
      <c r="G73" s="29"/>
      <c r="H73" s="53"/>
      <c r="I73" s="72" t="s">
        <v>40</v>
      </c>
      <c r="J73" s="72"/>
      <c r="K73" s="72"/>
      <c r="L73" s="72"/>
      <c r="M73" s="72" t="s">
        <v>237</v>
      </c>
      <c r="N73" s="72"/>
      <c r="O73" s="72"/>
      <c r="P73" s="72"/>
      <c r="U73" s="20" t="s">
        <v>42</v>
      </c>
      <c r="W73" s="126">
        <v>0</v>
      </c>
      <c r="X73" s="111">
        <f>1</f>
        <v>1</v>
      </c>
      <c r="Y73" s="112">
        <f t="shared" si="5"/>
        <v>0</v>
      </c>
      <c r="Z73" s="112">
        <f t="shared" si="6"/>
        <v>0</v>
      </c>
    </row>
    <row r="74" spans="1:27" ht="32" customHeight="1" x14ac:dyDescent="0.2">
      <c r="A74" s="33" t="s">
        <v>102</v>
      </c>
      <c r="B74" s="33" t="s">
        <v>238</v>
      </c>
      <c r="C74" s="34" t="s">
        <v>239</v>
      </c>
      <c r="D74" s="34" t="s">
        <v>194</v>
      </c>
      <c r="E74" s="51"/>
      <c r="F74" s="29"/>
      <c r="G74" s="29"/>
      <c r="H74" s="53"/>
      <c r="I74" s="72" t="s">
        <v>40</v>
      </c>
      <c r="J74" s="72"/>
      <c r="K74" s="72"/>
      <c r="L74" s="72"/>
      <c r="M74" s="72" t="s">
        <v>240</v>
      </c>
      <c r="N74" s="72"/>
      <c r="O74" s="72"/>
      <c r="P74" s="72"/>
      <c r="U74" s="20" t="s">
        <v>42</v>
      </c>
      <c r="W74" s="126">
        <v>0</v>
      </c>
      <c r="X74" s="111">
        <f>1</f>
        <v>1</v>
      </c>
      <c r="Y74" s="112">
        <f t="shared" si="5"/>
        <v>0</v>
      </c>
      <c r="Z74" s="112">
        <f t="shared" si="6"/>
        <v>0</v>
      </c>
    </row>
    <row r="75" spans="1:27" ht="32" customHeight="1" x14ac:dyDescent="0.2">
      <c r="A75" s="33" t="s">
        <v>102</v>
      </c>
      <c r="B75" s="33" t="s">
        <v>241</v>
      </c>
      <c r="C75" s="34" t="s">
        <v>197</v>
      </c>
      <c r="D75" s="34" t="s">
        <v>198</v>
      </c>
      <c r="E75" s="51"/>
      <c r="F75" s="29"/>
      <c r="G75" s="29"/>
      <c r="H75" s="53"/>
      <c r="I75" s="72" t="s">
        <v>40</v>
      </c>
      <c r="J75" s="72"/>
      <c r="K75" s="72"/>
      <c r="L75" s="72"/>
      <c r="M75" s="72" t="s">
        <v>242</v>
      </c>
      <c r="N75" s="72"/>
      <c r="O75" s="72"/>
      <c r="P75" s="72"/>
      <c r="U75" s="20" t="s">
        <v>42</v>
      </c>
      <c r="W75" s="126">
        <v>0</v>
      </c>
      <c r="X75" s="111">
        <f>1</f>
        <v>1</v>
      </c>
      <c r="Y75" s="112">
        <f t="shared" si="5"/>
        <v>0</v>
      </c>
      <c r="Z75" s="112">
        <f t="shared" si="6"/>
        <v>0</v>
      </c>
    </row>
    <row r="76" spans="1:27" x14ac:dyDescent="0.2">
      <c r="E76" s="41"/>
      <c r="H76" s="42"/>
      <c r="W76" s="126"/>
      <c r="X76" s="111">
        <f>1</f>
        <v>1</v>
      </c>
      <c r="Y76" s="112" t="str">
        <f t="shared" si="5"/>
        <v/>
      </c>
      <c r="Z76" s="112" t="str">
        <f t="shared" si="6"/>
        <v/>
      </c>
    </row>
    <row r="77" spans="1:27" s="30" customFormat="1" ht="32" customHeight="1" x14ac:dyDescent="0.2">
      <c r="A77" s="30" t="s">
        <v>200</v>
      </c>
      <c r="B77" s="30" t="s">
        <v>243</v>
      </c>
      <c r="C77" s="31" t="s">
        <v>244</v>
      </c>
      <c r="D77" s="31" t="s">
        <v>245</v>
      </c>
      <c r="E77" s="32"/>
      <c r="F77" s="30" t="s">
        <v>204</v>
      </c>
      <c r="G77" s="30" t="s">
        <v>205</v>
      </c>
      <c r="H77" s="36"/>
      <c r="I77" s="71" t="s">
        <v>40</v>
      </c>
      <c r="J77" s="71"/>
      <c r="K77" s="71" t="s">
        <v>206</v>
      </c>
      <c r="L77" s="71"/>
      <c r="M77" s="71" t="s">
        <v>246</v>
      </c>
      <c r="N77" s="71"/>
      <c r="O77" s="71"/>
      <c r="P77" s="71"/>
      <c r="U77" s="30" t="s">
        <v>52</v>
      </c>
      <c r="W77" s="126">
        <v>30.828470230102539</v>
      </c>
      <c r="X77" s="111">
        <f>1</f>
        <v>1</v>
      </c>
      <c r="Y77" s="112">
        <f t="shared" si="5"/>
        <v>30.828470230102539</v>
      </c>
      <c r="Z77" s="112" t="str">
        <f t="shared" si="6"/>
        <v/>
      </c>
      <c r="AA77" s="29"/>
    </row>
    <row r="78" spans="1:27" s="30" customFormat="1" ht="16" customHeight="1" x14ac:dyDescent="0.2">
      <c r="A78" s="30" t="s">
        <v>208</v>
      </c>
      <c r="B78" s="30" t="s">
        <v>247</v>
      </c>
      <c r="C78" s="30" t="s">
        <v>210</v>
      </c>
      <c r="D78" s="31" t="s">
        <v>211</v>
      </c>
      <c r="E78" s="32"/>
      <c r="F78" s="30" t="s">
        <v>212</v>
      </c>
      <c r="G78" s="30" t="s">
        <v>213</v>
      </c>
      <c r="H78" s="36"/>
      <c r="I78" s="71" t="s">
        <v>51</v>
      </c>
      <c r="J78" s="71"/>
      <c r="K78" s="71"/>
      <c r="L78" s="71"/>
      <c r="M78" s="71" t="s">
        <v>248</v>
      </c>
      <c r="N78" s="71"/>
      <c r="O78" s="71"/>
      <c r="P78" s="71"/>
      <c r="U78" s="30" t="s">
        <v>52</v>
      </c>
      <c r="W78" s="126">
        <v>2.29411768913269</v>
      </c>
      <c r="X78" s="111">
        <f>1</f>
        <v>1</v>
      </c>
      <c r="Y78" s="112">
        <f t="shared" si="5"/>
        <v>2.29411768913269</v>
      </c>
      <c r="Z78" s="112" t="str">
        <f t="shared" si="6"/>
        <v/>
      </c>
      <c r="AA78" s="29"/>
    </row>
    <row r="79" spans="1:27" s="30" customFormat="1" x14ac:dyDescent="0.2">
      <c r="C79" s="31"/>
      <c r="D79" s="31"/>
      <c r="E79" s="32"/>
      <c r="H79" s="36"/>
      <c r="I79" s="71"/>
      <c r="J79" s="71"/>
      <c r="K79" s="71"/>
      <c r="L79" s="71"/>
      <c r="M79" s="71"/>
      <c r="N79" s="71"/>
      <c r="O79" s="71"/>
      <c r="P79" s="71"/>
      <c r="W79" s="126"/>
      <c r="X79" s="111">
        <f>1</f>
        <v>1</v>
      </c>
      <c r="Y79" s="112" t="str">
        <f t="shared" si="5"/>
        <v/>
      </c>
      <c r="Z79" s="112" t="str">
        <f t="shared" si="6"/>
        <v/>
      </c>
      <c r="AA79" s="29"/>
    </row>
    <row r="80" spans="1:27" s="30" customFormat="1" ht="16" customHeight="1" x14ac:dyDescent="0.2">
      <c r="A80" s="30" t="s">
        <v>215</v>
      </c>
      <c r="B80" s="30" t="s">
        <v>249</v>
      </c>
      <c r="C80" s="30" t="s">
        <v>217</v>
      </c>
      <c r="D80" s="31" t="s">
        <v>218</v>
      </c>
      <c r="E80" s="36"/>
      <c r="H80" s="36"/>
      <c r="I80" s="71" t="s">
        <v>40</v>
      </c>
      <c r="J80" s="71"/>
      <c r="K80" s="71"/>
      <c r="L80" s="71"/>
      <c r="M80" s="71" t="s">
        <v>246</v>
      </c>
      <c r="N80" s="71"/>
      <c r="O80" s="71"/>
      <c r="P80" s="71"/>
      <c r="W80" s="126"/>
      <c r="X80" s="111"/>
      <c r="Y80" s="112"/>
      <c r="Z80" s="112"/>
      <c r="AA80" s="29"/>
    </row>
    <row r="81" spans="1:27" s="30" customFormat="1" ht="16" customHeight="1" x14ac:dyDescent="0.2">
      <c r="A81" s="30" t="s">
        <v>219</v>
      </c>
      <c r="B81" s="30" t="s">
        <v>250</v>
      </c>
      <c r="C81" s="30" t="s">
        <v>221</v>
      </c>
      <c r="D81" s="31" t="s">
        <v>222</v>
      </c>
      <c r="E81" s="36"/>
      <c r="H81" s="36"/>
      <c r="I81" s="71" t="s">
        <v>40</v>
      </c>
      <c r="J81" s="71"/>
      <c r="K81" s="71"/>
      <c r="L81" s="71"/>
      <c r="M81" s="71" t="s">
        <v>246</v>
      </c>
      <c r="N81" s="71"/>
      <c r="O81" s="71"/>
      <c r="P81" s="71"/>
      <c r="W81" s="126"/>
      <c r="X81" s="111"/>
      <c r="Y81" s="112"/>
      <c r="Z81" s="112"/>
      <c r="AA81" s="29"/>
    </row>
    <row r="82" spans="1:27" s="30" customFormat="1" x14ac:dyDescent="0.2">
      <c r="C82" s="31"/>
      <c r="D82" s="31"/>
      <c r="E82" s="32"/>
      <c r="H82" s="36"/>
      <c r="I82" s="71"/>
      <c r="J82" s="71"/>
      <c r="K82" s="71"/>
      <c r="L82" s="71"/>
      <c r="M82" s="71"/>
      <c r="N82" s="71"/>
      <c r="O82" s="71"/>
      <c r="P82" s="71"/>
      <c r="W82" s="126"/>
      <c r="X82" s="111">
        <f>1</f>
        <v>1</v>
      </c>
      <c r="Y82" s="112" t="str">
        <f t="shared" ref="Y82:Y93" si="7">IF(W82&lt;&gt;"",W82*X82,"")</f>
        <v/>
      </c>
      <c r="Z82" s="112" t="str">
        <f t="shared" ref="Z82:Z93" si="8">IF(AND(W82&lt;&gt;"",U82="yes"),W82*X82,"")</f>
        <v/>
      </c>
      <c r="AA82" s="29"/>
    </row>
    <row r="83" spans="1:27" ht="32" customHeight="1" x14ac:dyDescent="0.2">
      <c r="A83" s="33" t="s">
        <v>223</v>
      </c>
      <c r="B83" s="33" t="s">
        <v>251</v>
      </c>
      <c r="C83" s="34" t="s">
        <v>252</v>
      </c>
      <c r="D83" s="34" t="s">
        <v>253</v>
      </c>
      <c r="E83" s="51"/>
      <c r="F83" s="33"/>
      <c r="G83" s="33"/>
      <c r="H83" s="53"/>
      <c r="I83" s="72" t="s">
        <v>40</v>
      </c>
      <c r="J83" s="72"/>
      <c r="K83" s="72"/>
      <c r="L83" s="72"/>
      <c r="M83" s="72" t="s">
        <v>246</v>
      </c>
      <c r="N83" s="72"/>
      <c r="O83" s="72"/>
      <c r="P83" s="72"/>
      <c r="U83" s="20" t="s">
        <v>42</v>
      </c>
      <c r="W83" s="126">
        <v>21.193256378173832</v>
      </c>
      <c r="X83" s="111">
        <f>1</f>
        <v>1</v>
      </c>
      <c r="Y83" s="112">
        <f t="shared" si="7"/>
        <v>21.193256378173832</v>
      </c>
      <c r="Z83" s="112">
        <f t="shared" si="8"/>
        <v>21.193256378173832</v>
      </c>
    </row>
    <row r="84" spans="1:27" x14ac:dyDescent="0.2">
      <c r="D84" s="22"/>
      <c r="E84" s="41"/>
      <c r="H84" s="42"/>
      <c r="M84" s="82"/>
      <c r="W84" s="126"/>
      <c r="X84" s="111">
        <f>1</f>
        <v>1</v>
      </c>
      <c r="Y84" s="112" t="str">
        <f t="shared" si="7"/>
        <v/>
      </c>
      <c r="Z84" s="112" t="str">
        <f t="shared" si="8"/>
        <v/>
      </c>
    </row>
    <row r="85" spans="1:27" ht="16" customHeight="1" x14ac:dyDescent="0.2">
      <c r="A85" s="33" t="s">
        <v>254</v>
      </c>
      <c r="B85" s="33" t="s">
        <v>255</v>
      </c>
      <c r="C85" s="33" t="s">
        <v>256</v>
      </c>
      <c r="D85" s="34" t="s">
        <v>257</v>
      </c>
      <c r="E85" s="53"/>
      <c r="F85" s="29" t="s">
        <v>231</v>
      </c>
      <c r="G85" s="29" t="s">
        <v>258</v>
      </c>
      <c r="H85" s="53"/>
      <c r="I85" s="72" t="s">
        <v>40</v>
      </c>
      <c r="J85" s="72" t="s">
        <v>185</v>
      </c>
      <c r="K85" s="72"/>
      <c r="L85" s="72"/>
      <c r="M85" s="72" t="s">
        <v>246</v>
      </c>
      <c r="N85" s="72" t="s">
        <v>259</v>
      </c>
      <c r="O85" s="72"/>
      <c r="P85" s="72"/>
      <c r="U85" s="20" t="s">
        <v>42</v>
      </c>
      <c r="W85" s="126">
        <v>20.229927062988281</v>
      </c>
      <c r="X85" s="111">
        <f>1</f>
        <v>1</v>
      </c>
      <c r="Y85" s="112">
        <f t="shared" si="7"/>
        <v>20.229927062988281</v>
      </c>
      <c r="Z85" s="112">
        <f t="shared" si="8"/>
        <v>20.229927062988281</v>
      </c>
    </row>
    <row r="86" spans="1:27" x14ac:dyDescent="0.2">
      <c r="A86" s="33" t="s">
        <v>26</v>
      </c>
      <c r="B86" s="33" t="s">
        <v>260</v>
      </c>
      <c r="C86" s="34"/>
      <c r="D86" s="34"/>
      <c r="E86" s="51"/>
      <c r="F86" s="29"/>
      <c r="G86" s="29"/>
      <c r="H86" s="53"/>
      <c r="I86" s="72"/>
      <c r="J86" s="72"/>
      <c r="K86" s="72"/>
      <c r="L86" s="72"/>
      <c r="M86" s="72"/>
      <c r="N86" s="72"/>
      <c r="O86" s="72"/>
      <c r="P86" s="72" t="s">
        <v>261</v>
      </c>
      <c r="U86" s="20" t="s">
        <v>42</v>
      </c>
      <c r="W86" s="126"/>
      <c r="X86" s="111">
        <f>1</f>
        <v>1</v>
      </c>
      <c r="Y86" s="112" t="str">
        <f t="shared" si="7"/>
        <v/>
      </c>
      <c r="Z86" s="112" t="str">
        <f t="shared" si="8"/>
        <v/>
      </c>
    </row>
    <row r="87" spans="1:27" ht="32" customHeight="1" x14ac:dyDescent="0.2">
      <c r="A87" s="33" t="s">
        <v>102</v>
      </c>
      <c r="B87" s="33" t="s">
        <v>262</v>
      </c>
      <c r="C87" s="34" t="s">
        <v>189</v>
      </c>
      <c r="D87" s="269" t="s">
        <v>190</v>
      </c>
      <c r="E87" s="51"/>
      <c r="F87" s="29"/>
      <c r="G87" s="29"/>
      <c r="H87" s="53"/>
      <c r="I87" s="72" t="s">
        <v>40</v>
      </c>
      <c r="J87" s="72"/>
      <c r="K87" s="72"/>
      <c r="L87" s="72"/>
      <c r="M87" s="72" t="s">
        <v>263</v>
      </c>
      <c r="N87" s="72"/>
      <c r="O87" s="72"/>
      <c r="P87" s="72"/>
      <c r="U87" s="20" t="s">
        <v>42</v>
      </c>
      <c r="W87" s="126">
        <v>0</v>
      </c>
      <c r="X87" s="111">
        <f>1</f>
        <v>1</v>
      </c>
      <c r="Y87" s="112">
        <f t="shared" si="7"/>
        <v>0</v>
      </c>
      <c r="Z87" s="112">
        <f t="shared" si="8"/>
        <v>0</v>
      </c>
    </row>
    <row r="88" spans="1:27" ht="32" customHeight="1" x14ac:dyDescent="0.2">
      <c r="A88" s="33" t="s">
        <v>102</v>
      </c>
      <c r="B88" s="33" t="s">
        <v>264</v>
      </c>
      <c r="C88" s="34" t="s">
        <v>193</v>
      </c>
      <c r="D88" s="34" t="s">
        <v>194</v>
      </c>
      <c r="E88" s="51"/>
      <c r="F88" s="29"/>
      <c r="G88" s="29"/>
      <c r="H88" s="53"/>
      <c r="I88" s="72" t="s">
        <v>40</v>
      </c>
      <c r="J88" s="72"/>
      <c r="K88" s="72"/>
      <c r="L88" s="72"/>
      <c r="M88" s="72" t="s">
        <v>265</v>
      </c>
      <c r="N88" s="72"/>
      <c r="O88" s="72"/>
      <c r="P88" s="72"/>
      <c r="U88" s="20" t="s">
        <v>42</v>
      </c>
      <c r="W88" s="126">
        <v>0</v>
      </c>
      <c r="X88" s="111">
        <f>1</f>
        <v>1</v>
      </c>
      <c r="Y88" s="112">
        <f t="shared" si="7"/>
        <v>0</v>
      </c>
      <c r="Z88" s="112">
        <f t="shared" si="8"/>
        <v>0</v>
      </c>
    </row>
    <row r="89" spans="1:27" ht="32" customHeight="1" x14ac:dyDescent="0.2">
      <c r="A89" s="33" t="s">
        <v>102</v>
      </c>
      <c r="B89" s="33" t="s">
        <v>266</v>
      </c>
      <c r="C89" s="34" t="s">
        <v>197</v>
      </c>
      <c r="D89" s="34" t="s">
        <v>198</v>
      </c>
      <c r="E89" s="51"/>
      <c r="F89" s="29"/>
      <c r="G89" s="29"/>
      <c r="H89" s="53"/>
      <c r="I89" s="72" t="s">
        <v>40</v>
      </c>
      <c r="J89" s="72"/>
      <c r="K89" s="72"/>
      <c r="L89" s="72"/>
      <c r="M89" s="72" t="s">
        <v>267</v>
      </c>
      <c r="N89" s="72"/>
      <c r="O89" s="72"/>
      <c r="P89" s="72"/>
      <c r="U89" s="20" t="s">
        <v>42</v>
      </c>
      <c r="W89" s="126">
        <v>0</v>
      </c>
      <c r="X89" s="111">
        <f>1</f>
        <v>1</v>
      </c>
      <c r="Y89" s="112">
        <f t="shared" si="7"/>
        <v>0</v>
      </c>
      <c r="Z89" s="112">
        <f t="shared" si="8"/>
        <v>0</v>
      </c>
    </row>
    <row r="90" spans="1:27" x14ac:dyDescent="0.2">
      <c r="E90" s="41"/>
      <c r="H90" s="42"/>
      <c r="W90" s="126"/>
      <c r="X90" s="111">
        <f>1</f>
        <v>1</v>
      </c>
      <c r="Y90" s="112" t="str">
        <f t="shared" si="7"/>
        <v/>
      </c>
      <c r="Z90" s="112" t="str">
        <f t="shared" si="8"/>
        <v/>
      </c>
    </row>
    <row r="91" spans="1:27" s="30" customFormat="1" ht="32" customHeight="1" x14ac:dyDescent="0.2">
      <c r="A91" s="30" t="s">
        <v>200</v>
      </c>
      <c r="B91" s="30" t="s">
        <v>268</v>
      </c>
      <c r="C91" s="31" t="s">
        <v>269</v>
      </c>
      <c r="D91" s="31" t="s">
        <v>270</v>
      </c>
      <c r="E91" s="32"/>
      <c r="F91" s="30" t="s">
        <v>204</v>
      </c>
      <c r="H91" s="36"/>
      <c r="I91" s="71" t="s">
        <v>40</v>
      </c>
      <c r="J91" s="71"/>
      <c r="K91" s="71" t="s">
        <v>206</v>
      </c>
      <c r="L91" s="71"/>
      <c r="M91" s="71" t="s">
        <v>271</v>
      </c>
      <c r="N91" s="71"/>
      <c r="O91" s="71"/>
      <c r="P91" s="71"/>
      <c r="U91" s="30" t="s">
        <v>52</v>
      </c>
      <c r="W91" s="126">
        <v>29.42983245849609</v>
      </c>
      <c r="X91" s="111">
        <f>1</f>
        <v>1</v>
      </c>
      <c r="Y91" s="112">
        <f t="shared" si="7"/>
        <v>29.42983245849609</v>
      </c>
      <c r="Z91" s="112" t="str">
        <f t="shared" si="8"/>
        <v/>
      </c>
      <c r="AA91" s="29"/>
    </row>
    <row r="92" spans="1:27" s="30" customFormat="1" ht="16" customHeight="1" x14ac:dyDescent="0.2">
      <c r="A92" s="30" t="s">
        <v>208</v>
      </c>
      <c r="B92" s="30" t="s">
        <v>272</v>
      </c>
      <c r="C92" s="30" t="s">
        <v>210</v>
      </c>
      <c r="D92" s="31" t="s">
        <v>211</v>
      </c>
      <c r="E92" s="32"/>
      <c r="F92" s="30" t="s">
        <v>212</v>
      </c>
      <c r="H92" s="57"/>
      <c r="I92" s="71" t="s">
        <v>51</v>
      </c>
      <c r="J92" s="71"/>
      <c r="K92" s="71"/>
      <c r="L92" s="71"/>
      <c r="M92" s="85" t="s">
        <v>273</v>
      </c>
      <c r="N92" s="71"/>
      <c r="O92" s="71"/>
      <c r="P92" s="71"/>
      <c r="U92" s="30" t="s">
        <v>52</v>
      </c>
      <c r="W92" s="126">
        <v>1.555555582046509</v>
      </c>
      <c r="X92" s="111">
        <f>1</f>
        <v>1</v>
      </c>
      <c r="Y92" s="112">
        <f t="shared" si="7"/>
        <v>1.555555582046509</v>
      </c>
      <c r="Z92" s="112" t="str">
        <f t="shared" si="8"/>
        <v/>
      </c>
      <c r="AA92" s="29"/>
    </row>
    <row r="93" spans="1:27" s="30" customFormat="1" x14ac:dyDescent="0.2">
      <c r="C93" s="31"/>
      <c r="D93" s="31"/>
      <c r="E93" s="32"/>
      <c r="H93" s="36"/>
      <c r="I93" s="71"/>
      <c r="J93" s="71"/>
      <c r="K93" s="71"/>
      <c r="L93" s="71"/>
      <c r="M93" s="71"/>
      <c r="N93" s="71"/>
      <c r="O93" s="71"/>
      <c r="P93" s="71"/>
      <c r="W93" s="126"/>
      <c r="X93" s="111">
        <f>1</f>
        <v>1</v>
      </c>
      <c r="Y93" s="112" t="str">
        <f t="shared" si="7"/>
        <v/>
      </c>
      <c r="Z93" s="112" t="str">
        <f t="shared" si="8"/>
        <v/>
      </c>
      <c r="AA93" s="29"/>
    </row>
    <row r="94" spans="1:27" s="30" customFormat="1" ht="16" customHeight="1" x14ac:dyDescent="0.2">
      <c r="A94" s="30" t="s">
        <v>215</v>
      </c>
      <c r="B94" s="30" t="s">
        <v>274</v>
      </c>
      <c r="C94" s="30" t="s">
        <v>217</v>
      </c>
      <c r="D94" s="31" t="s">
        <v>218</v>
      </c>
      <c r="E94" s="36"/>
      <c r="H94" s="36"/>
      <c r="I94" s="71" t="s">
        <v>40</v>
      </c>
      <c r="J94" s="71"/>
      <c r="K94" s="71"/>
      <c r="L94" s="71"/>
      <c r="M94" s="71" t="s">
        <v>271</v>
      </c>
      <c r="N94" s="71"/>
      <c r="O94" s="71"/>
      <c r="P94" s="71"/>
      <c r="W94" s="126"/>
      <c r="X94" s="111"/>
      <c r="Y94" s="112"/>
      <c r="Z94" s="112"/>
      <c r="AA94" s="29"/>
    </row>
    <row r="95" spans="1:27" s="30" customFormat="1" ht="16" customHeight="1" x14ac:dyDescent="0.2">
      <c r="A95" s="30" t="s">
        <v>219</v>
      </c>
      <c r="B95" s="30" t="s">
        <v>275</v>
      </c>
      <c r="C95" s="30" t="s">
        <v>221</v>
      </c>
      <c r="D95" s="31" t="s">
        <v>222</v>
      </c>
      <c r="E95" s="36"/>
      <c r="H95" s="36"/>
      <c r="I95" s="71" t="s">
        <v>40</v>
      </c>
      <c r="J95" s="71"/>
      <c r="K95" s="71"/>
      <c r="L95" s="71"/>
      <c r="M95" s="71" t="s">
        <v>271</v>
      </c>
      <c r="N95" s="71"/>
      <c r="O95" s="71"/>
      <c r="P95" s="71"/>
      <c r="W95" s="126"/>
      <c r="X95" s="111"/>
      <c r="Y95" s="112"/>
      <c r="Z95" s="112"/>
      <c r="AA95" s="29"/>
    </row>
    <row r="96" spans="1:27" s="30" customFormat="1" x14ac:dyDescent="0.2">
      <c r="C96" s="31"/>
      <c r="D96" s="31"/>
      <c r="E96" s="32"/>
      <c r="H96" s="57"/>
      <c r="I96" s="71"/>
      <c r="J96" s="71"/>
      <c r="K96" s="71"/>
      <c r="L96" s="71"/>
      <c r="M96" s="85"/>
      <c r="N96" s="71"/>
      <c r="O96" s="71"/>
      <c r="P96" s="71"/>
      <c r="W96" s="126"/>
      <c r="X96" s="111">
        <f>1</f>
        <v>1</v>
      </c>
      <c r="Y96" s="112" t="str">
        <f t="shared" ref="Y96:Y115" si="9">IF(W96&lt;&gt;"",W96*X96,"")</f>
        <v/>
      </c>
      <c r="Z96" s="112" t="str">
        <f>IF(AND(W96&lt;&gt;"",U96="yes"),W96*X96,"")</f>
        <v/>
      </c>
      <c r="AA96" s="29"/>
    </row>
    <row r="97" spans="1:27" ht="32" customHeight="1" x14ac:dyDescent="0.2">
      <c r="A97" s="33" t="s">
        <v>223</v>
      </c>
      <c r="B97" s="33" t="s">
        <v>276</v>
      </c>
      <c r="C97" s="34" t="s">
        <v>277</v>
      </c>
      <c r="D97" s="34" t="s">
        <v>278</v>
      </c>
      <c r="E97" s="51"/>
      <c r="F97" s="33"/>
      <c r="G97" s="33"/>
      <c r="H97" s="53"/>
      <c r="I97" s="72" t="s">
        <v>40</v>
      </c>
      <c r="J97" s="72"/>
      <c r="K97" s="72"/>
      <c r="L97" s="72"/>
      <c r="M97" s="72" t="s">
        <v>271</v>
      </c>
      <c r="N97" s="72"/>
      <c r="O97" s="72"/>
      <c r="P97" s="72"/>
      <c r="U97" s="20" t="s">
        <v>42</v>
      </c>
      <c r="W97" s="126">
        <v>16.348396301269531</v>
      </c>
      <c r="X97" s="111">
        <f>1</f>
        <v>1</v>
      </c>
      <c r="Y97" s="112">
        <f t="shared" si="9"/>
        <v>16.348396301269531</v>
      </c>
      <c r="Z97" s="112">
        <f>IF(AND(W97&lt;&gt;"",U97="yes"),W97*X97,"")</f>
        <v>16.348396301269531</v>
      </c>
    </row>
    <row r="98" spans="1:27" s="30" customFormat="1" x14ac:dyDescent="0.2">
      <c r="C98" s="31"/>
      <c r="D98" s="22"/>
      <c r="E98" s="32"/>
      <c r="H98" s="36"/>
      <c r="I98" s="71"/>
      <c r="J98" s="71"/>
      <c r="K98" s="71"/>
      <c r="L98" s="71"/>
      <c r="M98" s="71"/>
      <c r="N98" s="71"/>
      <c r="O98" s="71"/>
      <c r="P98" s="71"/>
      <c r="W98" s="126"/>
      <c r="X98" s="111">
        <f>1</f>
        <v>1</v>
      </c>
      <c r="Y98" s="112" t="str">
        <f t="shared" si="9"/>
        <v/>
      </c>
      <c r="Z98" s="112" t="str">
        <f>IF(AND(W98&lt;&gt;"",U98="yes"),W98*X98,"")</f>
        <v/>
      </c>
      <c r="AA98" s="29"/>
    </row>
    <row r="99" spans="1:27" ht="64" customHeight="1" x14ac:dyDescent="0.2">
      <c r="A99" s="33" t="s">
        <v>279</v>
      </c>
      <c r="B99" s="33" t="s">
        <v>280</v>
      </c>
      <c r="C99" s="34" t="s">
        <v>281</v>
      </c>
      <c r="D99" s="34" t="s">
        <v>282</v>
      </c>
      <c r="E99" s="51"/>
      <c r="F99" s="33" t="s">
        <v>283</v>
      </c>
      <c r="G99" s="33" t="s">
        <v>284</v>
      </c>
      <c r="H99" s="53"/>
      <c r="I99" s="72" t="s">
        <v>40</v>
      </c>
      <c r="J99" s="72"/>
      <c r="K99" s="72" t="s">
        <v>285</v>
      </c>
      <c r="L99" s="72"/>
      <c r="M99" s="72"/>
      <c r="N99" s="72"/>
      <c r="O99" s="72"/>
      <c r="P99" s="72"/>
      <c r="U99" s="20" t="s">
        <v>42</v>
      </c>
      <c r="W99" s="126">
        <v>46.247528076171882</v>
      </c>
      <c r="X99" s="111">
        <f>1</f>
        <v>1</v>
      </c>
      <c r="Y99" s="112">
        <f t="shared" si="9"/>
        <v>46.247528076171882</v>
      </c>
      <c r="Z99" s="112">
        <f>IF(AND(W99&lt;&gt;"",U99="yes"),W99*X99,"")</f>
        <v>46.247528076171882</v>
      </c>
    </row>
    <row r="100" spans="1:27" ht="48" customHeight="1" x14ac:dyDescent="0.2">
      <c r="A100" s="20" t="s">
        <v>102</v>
      </c>
      <c r="B100" s="20" t="s">
        <v>286</v>
      </c>
      <c r="C100" s="21" t="s">
        <v>287</v>
      </c>
      <c r="D100" s="21" t="s">
        <v>288</v>
      </c>
      <c r="E100" s="41"/>
      <c r="H100" s="42"/>
      <c r="I100" s="77" t="b">
        <v>1</v>
      </c>
      <c r="W100" s="126">
        <v>5</v>
      </c>
      <c r="X100" s="111">
        <f>1</f>
        <v>1</v>
      </c>
      <c r="Y100" s="112">
        <f t="shared" si="9"/>
        <v>5</v>
      </c>
      <c r="Z100" s="112" t="str">
        <f>IF(AND(W100&lt;&gt;"",U100="yes"),W100*X100,"")</f>
        <v/>
      </c>
    </row>
    <row r="101" spans="1:27" ht="32" customHeight="1" x14ac:dyDescent="0.2">
      <c r="A101" s="20" t="s">
        <v>289</v>
      </c>
      <c r="B101" s="20" t="s">
        <v>290</v>
      </c>
      <c r="C101" s="21" t="s">
        <v>291</v>
      </c>
      <c r="D101" s="21" t="s">
        <v>292</v>
      </c>
      <c r="E101" s="41"/>
      <c r="H101" s="42"/>
      <c r="I101" s="77" t="b">
        <v>1</v>
      </c>
      <c r="M101" s="77" t="s">
        <v>293</v>
      </c>
      <c r="W101" s="126">
        <v>5</v>
      </c>
      <c r="X101" s="111">
        <v>0.3</v>
      </c>
      <c r="Y101" s="112">
        <f t="shared" si="9"/>
        <v>1.5</v>
      </c>
      <c r="Z101" s="112"/>
    </row>
    <row r="102" spans="1:27" ht="32" customHeight="1" x14ac:dyDescent="0.2">
      <c r="A102" s="20" t="s">
        <v>294</v>
      </c>
      <c r="B102" s="20" t="s">
        <v>295</v>
      </c>
      <c r="C102" s="21" t="s">
        <v>296</v>
      </c>
      <c r="D102" s="21" t="s">
        <v>297</v>
      </c>
      <c r="E102" s="41"/>
      <c r="H102" s="42"/>
      <c r="I102" s="77" t="b">
        <v>1</v>
      </c>
      <c r="M102" s="77" t="s">
        <v>293</v>
      </c>
      <c r="W102" s="126">
        <v>5</v>
      </c>
      <c r="X102" s="111">
        <v>0.3</v>
      </c>
      <c r="Y102" s="112">
        <f t="shared" si="9"/>
        <v>1.5</v>
      </c>
      <c r="Z102" s="112"/>
    </row>
    <row r="103" spans="1:27" s="287" customFormat="1" ht="17.5" customHeight="1" x14ac:dyDescent="0.2">
      <c r="A103" s="287" t="s">
        <v>298</v>
      </c>
      <c r="B103" s="288" t="s">
        <v>299</v>
      </c>
      <c r="C103" s="289" t="s">
        <v>300</v>
      </c>
      <c r="D103" s="290" t="s">
        <v>301</v>
      </c>
      <c r="E103" s="290"/>
      <c r="I103" s="291" t="b">
        <v>1</v>
      </c>
      <c r="J103" s="291"/>
      <c r="K103" s="291"/>
      <c r="L103" s="291"/>
      <c r="M103" s="291"/>
      <c r="N103" s="291"/>
      <c r="O103" s="291"/>
      <c r="P103" s="291"/>
      <c r="W103" s="141">
        <v>5</v>
      </c>
      <c r="X103" s="142">
        <v>1</v>
      </c>
      <c r="Y103" s="143">
        <f t="shared" si="9"/>
        <v>5</v>
      </c>
      <c r="Z103" s="143"/>
    </row>
    <row r="104" spans="1:27" s="287" customFormat="1" ht="32" customHeight="1" x14ac:dyDescent="0.2">
      <c r="A104" s="287" t="s">
        <v>302</v>
      </c>
      <c r="B104" s="288" t="s">
        <v>303</v>
      </c>
      <c r="C104" s="289" t="s">
        <v>304</v>
      </c>
      <c r="D104" s="290" t="s">
        <v>305</v>
      </c>
      <c r="E104" s="290"/>
      <c r="I104" s="291" t="b">
        <v>1</v>
      </c>
      <c r="J104" s="291"/>
      <c r="K104" s="291"/>
      <c r="L104" s="291"/>
      <c r="M104" s="291" t="s">
        <v>306</v>
      </c>
      <c r="N104" s="291"/>
      <c r="O104" s="291"/>
      <c r="P104" s="291"/>
      <c r="W104" s="141">
        <v>10</v>
      </c>
      <c r="X104" s="142">
        <v>1</v>
      </c>
      <c r="Y104" s="143">
        <f t="shared" si="9"/>
        <v>10</v>
      </c>
      <c r="Z104" s="143"/>
    </row>
    <row r="105" spans="1:27" s="287" customFormat="1" ht="17.5" customHeight="1" x14ac:dyDescent="0.2">
      <c r="A105" s="287" t="s">
        <v>66</v>
      </c>
      <c r="B105" s="288" t="s">
        <v>307</v>
      </c>
      <c r="C105" s="289" t="s">
        <v>308</v>
      </c>
      <c r="D105" s="290" t="s">
        <v>309</v>
      </c>
      <c r="E105" s="290"/>
      <c r="I105" s="291" t="b">
        <v>1</v>
      </c>
      <c r="J105" s="291"/>
      <c r="K105" s="291"/>
      <c r="L105" s="291"/>
      <c r="M105" s="291" t="s">
        <v>310</v>
      </c>
      <c r="N105" s="291"/>
      <c r="O105" s="291"/>
      <c r="P105" s="291"/>
      <c r="W105" s="141"/>
      <c r="X105" s="142">
        <v>1</v>
      </c>
      <c r="Y105" s="143" t="str">
        <f t="shared" si="9"/>
        <v/>
      </c>
      <c r="Z105" s="143"/>
    </row>
    <row r="106" spans="1:27" s="287" customFormat="1" ht="32" customHeight="1" x14ac:dyDescent="0.2">
      <c r="A106" s="287" t="s">
        <v>102</v>
      </c>
      <c r="B106" s="288" t="s">
        <v>311</v>
      </c>
      <c r="C106" s="289" t="s">
        <v>312</v>
      </c>
      <c r="D106" s="290" t="s">
        <v>313</v>
      </c>
      <c r="E106" s="290"/>
      <c r="I106" s="291" t="b">
        <v>1</v>
      </c>
      <c r="J106" s="291"/>
      <c r="K106" s="291"/>
      <c r="L106" s="291"/>
      <c r="M106" s="291" t="s">
        <v>306</v>
      </c>
      <c r="N106" s="291"/>
      <c r="O106" s="291"/>
      <c r="P106" s="291"/>
      <c r="W106" s="141">
        <v>5</v>
      </c>
      <c r="X106" s="142">
        <v>1</v>
      </c>
      <c r="Y106" s="143">
        <f t="shared" si="9"/>
        <v>5</v>
      </c>
      <c r="Z106" s="143"/>
    </row>
    <row r="107" spans="1:27" s="287" customFormat="1" ht="16" customHeight="1" x14ac:dyDescent="0.2">
      <c r="A107" s="287" t="s">
        <v>102</v>
      </c>
      <c r="B107" s="287" t="s">
        <v>314</v>
      </c>
      <c r="C107" s="290" t="s">
        <v>315</v>
      </c>
      <c r="D107" s="290" t="s">
        <v>316</v>
      </c>
      <c r="E107" s="290"/>
      <c r="I107" s="291" t="b">
        <v>1</v>
      </c>
      <c r="J107" s="291"/>
      <c r="K107" s="291"/>
      <c r="L107" s="291"/>
      <c r="M107" s="291"/>
      <c r="N107" s="291"/>
      <c r="O107" s="291"/>
      <c r="P107" s="291"/>
      <c r="W107" s="141">
        <v>5</v>
      </c>
      <c r="X107" s="142">
        <v>1</v>
      </c>
      <c r="Y107" s="143">
        <f t="shared" si="9"/>
        <v>5</v>
      </c>
      <c r="Z107" s="143"/>
    </row>
    <row r="108" spans="1:27" s="287" customFormat="1" ht="16" customHeight="1" x14ac:dyDescent="0.2">
      <c r="A108" s="288" t="s">
        <v>317</v>
      </c>
      <c r="B108" s="287" t="s">
        <v>318</v>
      </c>
      <c r="C108" s="290" t="s">
        <v>319</v>
      </c>
      <c r="D108" s="290" t="s">
        <v>320</v>
      </c>
      <c r="E108" s="290"/>
      <c r="I108" s="291" t="b">
        <v>1</v>
      </c>
      <c r="J108" s="291"/>
      <c r="K108" s="291"/>
      <c r="L108" s="291"/>
      <c r="M108" s="292" t="s">
        <v>321</v>
      </c>
      <c r="N108" s="291"/>
      <c r="O108" s="291"/>
      <c r="P108" s="291"/>
      <c r="W108" s="141">
        <v>5</v>
      </c>
      <c r="X108" s="142">
        <v>1</v>
      </c>
      <c r="Y108" s="143">
        <f t="shared" si="9"/>
        <v>5</v>
      </c>
      <c r="Z108" s="143"/>
    </row>
    <row r="109" spans="1:27" s="287" customFormat="1" ht="19.25" customHeight="1" x14ac:dyDescent="0.2">
      <c r="A109" s="287" t="s">
        <v>322</v>
      </c>
      <c r="B109" s="287" t="s">
        <v>323</v>
      </c>
      <c r="C109" s="290" t="s">
        <v>324</v>
      </c>
      <c r="D109" s="290" t="s">
        <v>325</v>
      </c>
      <c r="E109" s="290"/>
      <c r="I109" s="291" t="b">
        <v>1</v>
      </c>
      <c r="J109" s="291"/>
      <c r="K109" s="291"/>
      <c r="L109" s="291"/>
      <c r="M109" s="292" t="s">
        <v>321</v>
      </c>
      <c r="N109" s="291"/>
      <c r="O109" s="291"/>
      <c r="P109" s="291"/>
      <c r="W109" s="141">
        <v>10</v>
      </c>
      <c r="X109" s="142">
        <v>1</v>
      </c>
      <c r="Y109" s="143">
        <f t="shared" si="9"/>
        <v>10</v>
      </c>
      <c r="Z109" s="143"/>
    </row>
    <row r="110" spans="1:27" ht="16" customHeight="1" thickBot="1" x14ac:dyDescent="0.25">
      <c r="A110" s="49" t="s">
        <v>118</v>
      </c>
      <c r="B110" s="49"/>
      <c r="C110" s="50"/>
      <c r="D110" s="50"/>
      <c r="E110" s="45"/>
      <c r="F110" s="49"/>
      <c r="G110" s="49"/>
      <c r="H110" s="46"/>
      <c r="I110" s="81"/>
      <c r="J110" s="81"/>
      <c r="K110" s="81"/>
      <c r="L110" s="81"/>
      <c r="M110" s="81"/>
      <c r="N110" s="81"/>
      <c r="O110" s="81"/>
      <c r="P110" s="81"/>
      <c r="W110" s="126"/>
      <c r="X110" s="29"/>
      <c r="Y110" s="112" t="str">
        <f t="shared" si="9"/>
        <v/>
      </c>
      <c r="Z110" s="112" t="str">
        <f t="shared" ref="Z110:Z115" si="10">IF(AND(W110&lt;&gt;"",U110="yes"),W110*X110,"")</f>
        <v/>
      </c>
    </row>
    <row r="111" spans="1:27" s="26" customFormat="1" ht="17" customHeight="1" thickTop="1" x14ac:dyDescent="0.2">
      <c r="A111" s="23" t="s">
        <v>61</v>
      </c>
      <c r="B111" s="23" t="s">
        <v>326</v>
      </c>
      <c r="C111" s="47" t="s">
        <v>327</v>
      </c>
      <c r="D111" s="47" t="s">
        <v>328</v>
      </c>
      <c r="E111" s="24"/>
      <c r="F111" s="23"/>
      <c r="G111" s="23"/>
      <c r="H111" s="25"/>
      <c r="I111" s="75" t="s">
        <v>51</v>
      </c>
      <c r="J111" s="75"/>
      <c r="K111" s="75"/>
      <c r="L111" s="75"/>
      <c r="M111" s="75" t="s">
        <v>329</v>
      </c>
      <c r="N111" s="75"/>
      <c r="O111" s="75"/>
      <c r="P111" s="75"/>
      <c r="U111" s="20" t="s">
        <v>42</v>
      </c>
      <c r="W111" s="126"/>
      <c r="X111" s="27"/>
      <c r="Y111" s="112" t="str">
        <f t="shared" si="9"/>
        <v/>
      </c>
      <c r="Z111" s="112" t="str">
        <f t="shared" si="10"/>
        <v/>
      </c>
      <c r="AA111" s="27"/>
    </row>
    <row r="112" spans="1:27" s="21" customFormat="1" ht="64" customHeight="1" x14ac:dyDescent="0.2">
      <c r="A112" s="19" t="s">
        <v>45</v>
      </c>
      <c r="B112" s="19" t="s">
        <v>330</v>
      </c>
      <c r="C112" s="19" t="s">
        <v>331</v>
      </c>
      <c r="D112" s="19" t="s">
        <v>2997</v>
      </c>
      <c r="E112" s="41"/>
      <c r="F112" s="19"/>
      <c r="G112" s="19"/>
      <c r="H112" s="41"/>
      <c r="I112" s="18"/>
      <c r="J112" s="18"/>
      <c r="K112" s="18"/>
      <c r="L112" s="18"/>
      <c r="M112" s="18"/>
      <c r="N112" s="18"/>
      <c r="O112" s="18"/>
      <c r="P112" s="18"/>
      <c r="U112" s="21" t="s">
        <v>42</v>
      </c>
      <c r="W112" s="129">
        <v>7.5</v>
      </c>
      <c r="X112" s="114">
        <f>'Additional information'!$E$18</f>
        <v>0.35</v>
      </c>
      <c r="Y112" s="113">
        <f t="shared" si="9"/>
        <v>2.625</v>
      </c>
      <c r="Z112" s="113">
        <f t="shared" si="10"/>
        <v>2.625</v>
      </c>
      <c r="AA112" s="22"/>
    </row>
    <row r="113" spans="1:27" x14ac:dyDescent="0.2">
      <c r="E113" s="41"/>
      <c r="H113" s="42"/>
      <c r="W113" s="126"/>
      <c r="X113" s="111">
        <f>'Additional information'!$E$18</f>
        <v>0.35</v>
      </c>
      <c r="Y113" s="112" t="str">
        <f t="shared" si="9"/>
        <v/>
      </c>
      <c r="Z113" s="112" t="str">
        <f t="shared" si="10"/>
        <v/>
      </c>
    </row>
    <row r="114" spans="1:27" s="29" customFormat="1" ht="16" customHeight="1" x14ac:dyDescent="0.2">
      <c r="A114" s="33" t="s">
        <v>200</v>
      </c>
      <c r="B114" s="33" t="s">
        <v>332</v>
      </c>
      <c r="C114" s="34" t="s">
        <v>333</v>
      </c>
      <c r="D114" s="294" t="s">
        <v>334</v>
      </c>
      <c r="E114" s="51"/>
      <c r="F114" s="33" t="s">
        <v>335</v>
      </c>
      <c r="G114" s="33" t="s">
        <v>336</v>
      </c>
      <c r="H114" s="53"/>
      <c r="I114" s="72" t="s">
        <v>40</v>
      </c>
      <c r="J114" s="72"/>
      <c r="K114" s="72" t="s">
        <v>337</v>
      </c>
      <c r="L114" s="72"/>
      <c r="M114" s="72"/>
      <c r="N114" s="72"/>
      <c r="O114" s="72"/>
      <c r="P114" s="72"/>
      <c r="U114" s="29" t="s">
        <v>42</v>
      </c>
      <c r="W114" s="126">
        <v>17</v>
      </c>
      <c r="X114" s="111">
        <f>'Additional information'!$E$18</f>
        <v>0.35</v>
      </c>
      <c r="Y114" s="112">
        <f t="shared" si="9"/>
        <v>5.9499999999999993</v>
      </c>
      <c r="Z114" s="112">
        <f t="shared" si="10"/>
        <v>5.9499999999999993</v>
      </c>
    </row>
    <row r="115" spans="1:27" s="29" customFormat="1" ht="16" customHeight="1" x14ac:dyDescent="0.2">
      <c r="A115" s="33" t="s">
        <v>338</v>
      </c>
      <c r="B115" s="33" t="s">
        <v>339</v>
      </c>
      <c r="C115" s="34" t="s">
        <v>340</v>
      </c>
      <c r="D115" s="19" t="s">
        <v>341</v>
      </c>
      <c r="E115" s="51"/>
      <c r="F115" s="33" t="s">
        <v>342</v>
      </c>
      <c r="G115" s="147" t="s">
        <v>343</v>
      </c>
      <c r="H115" s="53"/>
      <c r="I115" s="72" t="s">
        <v>40</v>
      </c>
      <c r="J115" s="72"/>
      <c r="K115" s="72"/>
      <c r="L115" s="72"/>
      <c r="M115" s="72" t="s">
        <v>344</v>
      </c>
      <c r="N115" s="72"/>
      <c r="O115" s="72"/>
      <c r="P115" s="72"/>
      <c r="U115" s="29" t="s">
        <v>42</v>
      </c>
      <c r="W115" s="126">
        <v>0</v>
      </c>
      <c r="X115" s="111">
        <f>'Additional information'!$E$18</f>
        <v>0.35</v>
      </c>
      <c r="Y115" s="112">
        <f t="shared" si="9"/>
        <v>0</v>
      </c>
      <c r="Z115" s="112">
        <f t="shared" si="10"/>
        <v>0</v>
      </c>
    </row>
    <row r="116" spans="1:27" s="29" customFormat="1" ht="16" customHeight="1" x14ac:dyDescent="0.2">
      <c r="A116" s="33" t="s">
        <v>200</v>
      </c>
      <c r="B116" s="33" t="s">
        <v>345</v>
      </c>
      <c r="C116" s="34" t="s">
        <v>346</v>
      </c>
      <c r="D116" s="19" t="s">
        <v>347</v>
      </c>
      <c r="E116" s="51"/>
      <c r="F116" s="33"/>
      <c r="G116" s="147"/>
      <c r="H116" s="53"/>
      <c r="I116" s="72"/>
      <c r="J116" s="72"/>
      <c r="K116" s="72"/>
      <c r="L116" s="72"/>
      <c r="M116" s="72"/>
      <c r="N116" s="72"/>
      <c r="O116" s="72"/>
      <c r="P116" s="72"/>
      <c r="W116" s="126"/>
      <c r="X116" s="111"/>
      <c r="Y116" s="112"/>
      <c r="Z116" s="112"/>
    </row>
    <row r="117" spans="1:27" s="26" customFormat="1" ht="16" customHeight="1" x14ac:dyDescent="0.2">
      <c r="A117" s="287" t="s">
        <v>348</v>
      </c>
      <c r="B117" s="287" t="s">
        <v>349</v>
      </c>
      <c r="C117" s="290" t="s">
        <v>350</v>
      </c>
      <c r="D117" s="289" t="s">
        <v>351</v>
      </c>
      <c r="E117" s="295"/>
      <c r="F117" s="296"/>
      <c r="G117" s="296"/>
      <c r="H117" s="296"/>
      <c r="I117" s="291" t="b">
        <v>1</v>
      </c>
      <c r="J117" s="297"/>
      <c r="K117" s="297"/>
      <c r="L117" s="334"/>
      <c r="M117" s="334"/>
      <c r="N117" s="297"/>
      <c r="O117" s="297"/>
      <c r="P117" s="297"/>
      <c r="Q117" s="296"/>
      <c r="R117" s="296"/>
      <c r="S117" s="296"/>
      <c r="T117" s="296"/>
      <c r="U117" s="287"/>
      <c r="V117" s="296"/>
      <c r="W117" s="141">
        <v>5</v>
      </c>
      <c r="X117" s="142">
        <f>'Additional information'!$E$18</f>
        <v>0.35</v>
      </c>
      <c r="Y117" s="143">
        <v>5</v>
      </c>
      <c r="Z117" s="112" t="str">
        <f>IF(AND(W117&lt;&gt;"",U117="yes"),W117*X117,"")</f>
        <v/>
      </c>
      <c r="AA117" s="27"/>
    </row>
    <row r="118" spans="1:27" s="26" customFormat="1" ht="16" customHeight="1" x14ac:dyDescent="0.2">
      <c r="A118" s="284" t="s">
        <v>66</v>
      </c>
      <c r="B118" s="287" t="s">
        <v>352</v>
      </c>
      <c r="C118" s="290" t="s">
        <v>353</v>
      </c>
      <c r="D118" s="283" t="s">
        <v>354</v>
      </c>
      <c r="E118" s="283"/>
      <c r="F118" s="284"/>
      <c r="G118" s="284"/>
      <c r="H118" s="284"/>
      <c r="I118" s="291" t="b">
        <v>1</v>
      </c>
      <c r="J118" s="286"/>
      <c r="K118" s="286"/>
      <c r="L118" s="286"/>
      <c r="M118" s="297" t="s">
        <v>355</v>
      </c>
      <c r="N118" s="286"/>
      <c r="O118" s="286"/>
      <c r="P118" s="286"/>
      <c r="Q118" s="284"/>
      <c r="R118" s="284"/>
      <c r="S118" s="284"/>
      <c r="T118" s="284"/>
      <c r="U118" s="284"/>
      <c r="V118" s="284"/>
      <c r="W118" s="298"/>
      <c r="X118" s="142">
        <f>'Additional information'!$E$18</f>
        <v>0.35</v>
      </c>
      <c r="Y118" s="143"/>
      <c r="Z118" s="112"/>
      <c r="AA118" s="27"/>
    </row>
    <row r="119" spans="1:27" ht="32" customHeight="1" x14ac:dyDescent="0.2">
      <c r="A119" s="28" t="s">
        <v>356</v>
      </c>
      <c r="B119" s="28" t="s">
        <v>357</v>
      </c>
      <c r="C119" s="19" t="s">
        <v>358</v>
      </c>
      <c r="D119" s="19" t="s">
        <v>2998</v>
      </c>
      <c r="E119" s="41"/>
      <c r="F119" s="28" t="s">
        <v>359</v>
      </c>
      <c r="G119" s="28" t="s">
        <v>360</v>
      </c>
      <c r="H119" s="42"/>
      <c r="I119" s="70" t="s">
        <v>40</v>
      </c>
      <c r="J119" s="70" t="s">
        <v>94</v>
      </c>
      <c r="K119" s="70"/>
      <c r="L119" s="70"/>
      <c r="M119" s="70"/>
      <c r="N119" s="70"/>
      <c r="O119" s="70"/>
      <c r="P119" s="70"/>
      <c r="U119" s="20" t="s">
        <v>42</v>
      </c>
      <c r="W119" s="126">
        <v>27.057552337646481</v>
      </c>
      <c r="X119" s="111">
        <f>'Additional information'!$E$18</f>
        <v>0.35</v>
      </c>
      <c r="Y119" s="112">
        <f t="shared" ref="Y119:Y125" si="11">IF(W119&lt;&gt;"",W119*X119,"")</f>
        <v>9.4701433181762678</v>
      </c>
      <c r="Z119" s="112">
        <f t="shared" ref="Z119:Z125" si="12">IF(AND(W119&lt;&gt;"",U119="yes"),W119*X119,"")</f>
        <v>9.4701433181762678</v>
      </c>
    </row>
    <row r="120" spans="1:27" x14ac:dyDescent="0.2">
      <c r="A120" s="28" t="s">
        <v>26</v>
      </c>
      <c r="B120" s="28" t="s">
        <v>361</v>
      </c>
      <c r="C120" s="19"/>
      <c r="D120" s="19"/>
      <c r="E120" s="41"/>
      <c r="H120" s="42"/>
      <c r="I120" s="70"/>
      <c r="J120" s="70"/>
      <c r="K120" s="70"/>
      <c r="L120" s="70"/>
      <c r="M120" s="70"/>
      <c r="N120" s="70"/>
      <c r="O120" s="70"/>
      <c r="P120" s="70" t="s">
        <v>362</v>
      </c>
      <c r="U120" s="20" t="s">
        <v>42</v>
      </c>
      <c r="W120" s="126"/>
      <c r="X120" s="111">
        <f>'Additional information'!$E$18</f>
        <v>0.35</v>
      </c>
      <c r="Y120" s="112" t="str">
        <f t="shared" si="11"/>
        <v/>
      </c>
      <c r="Z120" s="112" t="str">
        <f t="shared" si="12"/>
        <v/>
      </c>
    </row>
    <row r="121" spans="1:27" ht="16" customHeight="1" x14ac:dyDescent="0.2">
      <c r="A121" s="28" t="s">
        <v>363</v>
      </c>
      <c r="B121" s="28" t="s">
        <v>364</v>
      </c>
      <c r="C121" s="19" t="s">
        <v>365</v>
      </c>
      <c r="D121" s="19" t="s">
        <v>2999</v>
      </c>
      <c r="E121" s="41"/>
      <c r="H121" s="42"/>
      <c r="I121" s="70" t="s">
        <v>40</v>
      </c>
      <c r="J121" s="70"/>
      <c r="K121" s="70"/>
      <c r="L121" s="70"/>
      <c r="M121" s="70" t="s">
        <v>366</v>
      </c>
      <c r="N121" s="70"/>
      <c r="O121" s="70"/>
      <c r="P121" s="70"/>
      <c r="U121" s="20" t="s">
        <v>42</v>
      </c>
      <c r="W121" s="126">
        <v>0</v>
      </c>
      <c r="X121" s="111">
        <f>'Additional information'!$E$18</f>
        <v>0.35</v>
      </c>
      <c r="Y121" s="112">
        <f t="shared" si="11"/>
        <v>0</v>
      </c>
      <c r="Z121" s="112">
        <f t="shared" si="12"/>
        <v>0</v>
      </c>
    </row>
    <row r="122" spans="1:27" s="29" customFormat="1" x14ac:dyDescent="0.2">
      <c r="C122" s="22"/>
      <c r="D122" s="21"/>
      <c r="E122" s="51"/>
      <c r="H122" s="53"/>
      <c r="I122" s="82"/>
      <c r="J122" s="82"/>
      <c r="K122" s="82"/>
      <c r="L122" s="82"/>
      <c r="M122" s="82"/>
      <c r="N122" s="82"/>
      <c r="O122" s="82"/>
      <c r="P122" s="82"/>
      <c r="W122" s="126"/>
      <c r="X122" s="111">
        <f>'Additional information'!$E$18</f>
        <v>0.35</v>
      </c>
      <c r="Y122" s="112" t="str">
        <f t="shared" si="11"/>
        <v/>
      </c>
      <c r="Z122" s="112" t="str">
        <f t="shared" si="12"/>
        <v/>
      </c>
    </row>
    <row r="123" spans="1:27" ht="31.75" customHeight="1" x14ac:dyDescent="0.2">
      <c r="A123" s="28" t="s">
        <v>367</v>
      </c>
      <c r="B123" s="28" t="s">
        <v>368</v>
      </c>
      <c r="C123" s="28" t="s">
        <v>369</v>
      </c>
      <c r="D123" s="34" t="s">
        <v>370</v>
      </c>
      <c r="E123" s="42"/>
      <c r="H123" s="42"/>
      <c r="I123" s="70" t="s">
        <v>40</v>
      </c>
      <c r="J123" s="70"/>
      <c r="K123" s="70"/>
      <c r="L123" s="70"/>
      <c r="M123" s="70" t="s">
        <v>371</v>
      </c>
      <c r="N123" s="70"/>
      <c r="O123" s="70"/>
      <c r="P123" s="70"/>
      <c r="U123" s="20" t="s">
        <v>42</v>
      </c>
      <c r="W123" s="126">
        <v>15.95429515838623</v>
      </c>
      <c r="X123" s="111">
        <f>'Additional information'!$E$18</f>
        <v>0.35</v>
      </c>
      <c r="Y123" s="112">
        <f t="shared" si="11"/>
        <v>5.5840033054351803</v>
      </c>
      <c r="Z123" s="112">
        <f t="shared" si="12"/>
        <v>5.5840033054351803</v>
      </c>
    </row>
    <row r="124" spans="1:27" ht="15.75" customHeight="1" x14ac:dyDescent="0.2">
      <c r="A124" s="28" t="s">
        <v>66</v>
      </c>
      <c r="B124" s="28" t="s">
        <v>372</v>
      </c>
      <c r="C124" s="34" t="s">
        <v>353</v>
      </c>
      <c r="D124" s="34" t="s">
        <v>373</v>
      </c>
      <c r="E124" s="51"/>
      <c r="F124" s="29" t="s">
        <v>374</v>
      </c>
      <c r="G124" s="29"/>
      <c r="H124" s="42"/>
      <c r="I124" s="70" t="s">
        <v>40</v>
      </c>
      <c r="J124" s="70"/>
      <c r="K124" s="70"/>
      <c r="L124" s="70"/>
      <c r="M124" s="70" t="s">
        <v>375</v>
      </c>
      <c r="N124" s="70"/>
      <c r="O124" s="70"/>
      <c r="P124" s="70"/>
      <c r="U124" s="20" t="s">
        <v>42</v>
      </c>
      <c r="W124" s="126"/>
      <c r="X124" s="111">
        <f>'Additional information'!$E$18</f>
        <v>0.35</v>
      </c>
      <c r="Y124" s="112" t="str">
        <f t="shared" si="11"/>
        <v/>
      </c>
      <c r="Z124" s="112" t="str">
        <f t="shared" si="12"/>
        <v/>
      </c>
    </row>
    <row r="125" spans="1:27" s="30" customFormat="1" ht="15.75" customHeight="1" x14ac:dyDescent="0.2">
      <c r="C125" s="31"/>
      <c r="D125" s="31"/>
      <c r="E125" s="32"/>
      <c r="H125" s="36"/>
      <c r="I125" s="71"/>
      <c r="J125" s="71"/>
      <c r="K125" s="71"/>
      <c r="L125" s="71"/>
      <c r="M125" s="71"/>
      <c r="N125" s="71"/>
      <c r="O125" s="71"/>
      <c r="P125" s="71"/>
      <c r="W125" s="126"/>
      <c r="X125" s="111">
        <f>'Additional information'!$E$18</f>
        <v>0.35</v>
      </c>
      <c r="Y125" s="112" t="str">
        <f t="shared" si="11"/>
        <v/>
      </c>
      <c r="Z125" s="112" t="str">
        <f t="shared" si="12"/>
        <v/>
      </c>
      <c r="AA125" s="29"/>
    </row>
    <row r="126" spans="1:27" s="30" customFormat="1" ht="15.75" customHeight="1" x14ac:dyDescent="0.2">
      <c r="A126" s="30" t="s">
        <v>376</v>
      </c>
      <c r="B126" s="30" t="s">
        <v>377</v>
      </c>
      <c r="C126" s="31" t="s">
        <v>378</v>
      </c>
      <c r="D126" s="31" t="s">
        <v>379</v>
      </c>
      <c r="E126" s="32"/>
      <c r="H126" s="36"/>
      <c r="I126" s="71"/>
      <c r="J126" s="71"/>
      <c r="K126" s="71"/>
      <c r="L126" s="71"/>
      <c r="M126" s="71" t="s">
        <v>380</v>
      </c>
      <c r="N126" s="71"/>
      <c r="O126" s="71"/>
      <c r="P126" s="71"/>
      <c r="W126" s="126"/>
      <c r="X126" s="111"/>
      <c r="Y126" s="112"/>
      <c r="Z126" s="112"/>
      <c r="AA126" s="29"/>
    </row>
    <row r="127" spans="1:27" s="30" customFormat="1" ht="15.75" customHeight="1" x14ac:dyDescent="0.2">
      <c r="A127" s="30" t="s">
        <v>102</v>
      </c>
      <c r="B127" s="30" t="s">
        <v>381</v>
      </c>
      <c r="C127" s="31" t="s">
        <v>382</v>
      </c>
      <c r="D127" s="31" t="s">
        <v>383</v>
      </c>
      <c r="E127" s="32"/>
      <c r="H127" s="36"/>
      <c r="I127" s="71"/>
      <c r="J127" s="71"/>
      <c r="K127" s="71"/>
      <c r="L127" s="71"/>
      <c r="M127" s="71" t="s">
        <v>380</v>
      </c>
      <c r="N127" s="71"/>
      <c r="O127" s="71"/>
      <c r="P127" s="71"/>
      <c r="W127" s="126"/>
      <c r="X127" s="111"/>
      <c r="Y127" s="112"/>
      <c r="Z127" s="112"/>
      <c r="AA127" s="29"/>
    </row>
    <row r="128" spans="1:27" s="30" customFormat="1" ht="16" customHeight="1" x14ac:dyDescent="0.2">
      <c r="A128" s="30" t="s">
        <v>384</v>
      </c>
      <c r="B128" s="30" t="s">
        <v>385</v>
      </c>
      <c r="C128" s="31" t="s">
        <v>386</v>
      </c>
      <c r="D128" s="31" t="s">
        <v>387</v>
      </c>
      <c r="E128" s="32"/>
      <c r="F128" s="30" t="s">
        <v>388</v>
      </c>
      <c r="G128" s="30" t="s">
        <v>389</v>
      </c>
      <c r="H128" s="36"/>
      <c r="I128" s="71" t="s">
        <v>40</v>
      </c>
      <c r="J128" s="71"/>
      <c r="K128" s="71" t="s">
        <v>390</v>
      </c>
      <c r="L128" s="71"/>
      <c r="M128" s="71" t="s">
        <v>371</v>
      </c>
      <c r="N128" s="71"/>
      <c r="O128" s="71"/>
      <c r="P128" s="71"/>
      <c r="U128" s="30" t="s">
        <v>52</v>
      </c>
      <c r="W128" s="126">
        <v>17.928909301757809</v>
      </c>
      <c r="X128" s="111">
        <f>'Additional information'!$E$18</f>
        <v>0.35</v>
      </c>
      <c r="Y128" s="112">
        <f>IF(W128&lt;&gt;"",W128*X128,"")</f>
        <v>6.275118255615233</v>
      </c>
      <c r="Z128" s="112" t="str">
        <f>IF(AND(W128&lt;&gt;"",U128="yes"),W128*X128,"")</f>
        <v/>
      </c>
      <c r="AA128" s="29"/>
    </row>
    <row r="129" spans="1:27" s="30" customFormat="1" x14ac:dyDescent="0.2">
      <c r="C129" s="31"/>
      <c r="D129" s="31"/>
      <c r="E129" s="32"/>
      <c r="H129" s="36"/>
      <c r="I129" s="71"/>
      <c r="J129" s="71"/>
      <c r="K129" s="71"/>
      <c r="L129" s="71"/>
      <c r="M129" s="71"/>
      <c r="N129" s="71"/>
      <c r="O129" s="71"/>
      <c r="P129" s="71"/>
      <c r="W129" s="126"/>
      <c r="X129" s="111"/>
      <c r="Y129" s="112"/>
      <c r="Z129" s="112"/>
      <c r="AA129" s="29"/>
    </row>
    <row r="130" spans="1:27" ht="32" customHeight="1" x14ac:dyDescent="0.2">
      <c r="A130" s="28" t="s">
        <v>223</v>
      </c>
      <c r="B130" s="28" t="s">
        <v>391</v>
      </c>
      <c r="C130" s="19" t="s">
        <v>392</v>
      </c>
      <c r="D130" s="19" t="s">
        <v>3000</v>
      </c>
      <c r="E130" s="41"/>
      <c r="F130" s="28"/>
      <c r="H130" s="42"/>
      <c r="I130" s="70" t="s">
        <v>40</v>
      </c>
      <c r="J130" s="70"/>
      <c r="K130" s="70"/>
      <c r="L130" s="70"/>
      <c r="M130" s="72" t="s">
        <v>371</v>
      </c>
      <c r="N130" s="70"/>
      <c r="O130" s="70"/>
      <c r="P130" s="70"/>
      <c r="U130" s="20" t="s">
        <v>42</v>
      </c>
      <c r="W130" s="126">
        <v>25.436874389648441</v>
      </c>
      <c r="X130" s="111">
        <f>'Additional information'!$E$18</f>
        <v>0.35</v>
      </c>
      <c r="Y130" s="112">
        <f>IF(W130&lt;&gt;"",W130*X130,"")</f>
        <v>8.9029060363769545</v>
      </c>
      <c r="Z130" s="112">
        <f>IF(X130&lt;&gt;"",X130*Y130,"")</f>
        <v>3.1160171127319338</v>
      </c>
    </row>
    <row r="131" spans="1:27" s="284" customFormat="1" ht="16" customHeight="1" x14ac:dyDescent="0.2">
      <c r="A131" s="287" t="s">
        <v>393</v>
      </c>
      <c r="B131" s="284" t="s">
        <v>394</v>
      </c>
      <c r="C131" s="283" t="s">
        <v>395</v>
      </c>
      <c r="D131" s="283" t="s">
        <v>396</v>
      </c>
      <c r="E131" s="283"/>
      <c r="I131" s="286" t="b">
        <v>1</v>
      </c>
      <c r="J131" s="286"/>
      <c r="K131" s="286"/>
      <c r="L131" s="286"/>
      <c r="M131" s="291" t="s">
        <v>397</v>
      </c>
      <c r="N131" s="286"/>
      <c r="O131" s="286"/>
      <c r="P131" s="286"/>
      <c r="W131" s="141">
        <v>17</v>
      </c>
      <c r="X131" s="142">
        <f>'Additional information'!$E$18</f>
        <v>0.35</v>
      </c>
      <c r="Y131" s="112">
        <f t="shared" ref="Y131:Y137" si="13">IF(W131&lt;&gt;"",W131*X131,"")</f>
        <v>5.9499999999999993</v>
      </c>
      <c r="Z131" s="143" t="str">
        <f>IF(AND(W131&lt;&gt;"",U131="yes"),W131*X131,"")</f>
        <v/>
      </c>
      <c r="AA131" s="287"/>
    </row>
    <row r="132" spans="1:27" s="284" customFormat="1" ht="16" customHeight="1" x14ac:dyDescent="0.2">
      <c r="A132" s="284" t="s">
        <v>66</v>
      </c>
      <c r="B132" s="284" t="s">
        <v>398</v>
      </c>
      <c r="C132" s="283" t="s">
        <v>399</v>
      </c>
      <c r="D132" s="290" t="s">
        <v>309</v>
      </c>
      <c r="E132" s="283"/>
      <c r="I132" s="286" t="b">
        <v>1</v>
      </c>
      <c r="J132" s="286"/>
      <c r="K132" s="286"/>
      <c r="L132" s="286"/>
      <c r="M132" s="291" t="s">
        <v>400</v>
      </c>
      <c r="N132" s="286"/>
      <c r="O132" s="286"/>
      <c r="P132" s="286"/>
      <c r="W132" s="141"/>
      <c r="X132" s="142">
        <f>'Additional information'!$E$18</f>
        <v>0.35</v>
      </c>
      <c r="Y132" s="112" t="str">
        <f t="shared" si="13"/>
        <v/>
      </c>
      <c r="Z132" s="143"/>
      <c r="AA132" s="287"/>
    </row>
    <row r="133" spans="1:27" s="30" customFormat="1" ht="16" customHeight="1" x14ac:dyDescent="0.2">
      <c r="A133" s="30" t="s">
        <v>200</v>
      </c>
      <c r="B133" s="30" t="s">
        <v>401</v>
      </c>
      <c r="C133" s="31" t="s">
        <v>402</v>
      </c>
      <c r="D133" s="31" t="s">
        <v>3001</v>
      </c>
      <c r="E133" s="31"/>
      <c r="F133" s="30" t="s">
        <v>403</v>
      </c>
      <c r="G133" s="30" t="s">
        <v>404</v>
      </c>
      <c r="I133" s="71" t="s">
        <v>40</v>
      </c>
      <c r="J133" s="71"/>
      <c r="K133" s="71" t="s">
        <v>337</v>
      </c>
      <c r="L133" s="71"/>
      <c r="M133" s="71" t="s">
        <v>371</v>
      </c>
      <c r="N133" s="71"/>
      <c r="O133" s="71"/>
      <c r="P133" s="71"/>
      <c r="U133" s="30" t="s">
        <v>52</v>
      </c>
      <c r="W133" s="130">
        <v>17</v>
      </c>
      <c r="X133" s="116">
        <f>'[1]Additional information'!$D$18</f>
        <v>0.91</v>
      </c>
      <c r="Y133" s="115">
        <f t="shared" si="13"/>
        <v>15.47</v>
      </c>
      <c r="Z133" s="115" t="str">
        <f>IF(AND(W133&lt;&gt;"",U133="yes"),W133*X133,"")</f>
        <v/>
      </c>
    </row>
    <row r="134" spans="1:27" s="30" customFormat="1" ht="16" customHeight="1" x14ac:dyDescent="0.2">
      <c r="A134" s="30" t="s">
        <v>405</v>
      </c>
      <c r="B134" s="30" t="s">
        <v>406</v>
      </c>
      <c r="C134" s="31" t="s">
        <v>407</v>
      </c>
      <c r="D134" s="31" t="s">
        <v>408</v>
      </c>
      <c r="E134" s="31"/>
      <c r="I134" s="71" t="s">
        <v>40</v>
      </c>
      <c r="J134" s="71"/>
      <c r="K134" s="71"/>
      <c r="L134" s="71"/>
      <c r="M134" s="71" t="s">
        <v>409</v>
      </c>
      <c r="N134" s="71"/>
      <c r="O134" s="71"/>
      <c r="P134" s="71"/>
      <c r="U134" s="30" t="s">
        <v>52</v>
      </c>
      <c r="W134" s="130">
        <v>17</v>
      </c>
      <c r="X134" s="116">
        <f>'[1]Additional information'!$D$18</f>
        <v>0.91</v>
      </c>
      <c r="Y134" s="115">
        <f t="shared" si="13"/>
        <v>15.47</v>
      </c>
      <c r="Z134" s="115" t="str">
        <f>IF(AND(W134&lt;&gt;"",U134="yes"),W134*X134,"")</f>
        <v/>
      </c>
    </row>
    <row r="135" spans="1:27" s="30" customFormat="1" x14ac:dyDescent="0.2">
      <c r="A135" s="30" t="s">
        <v>26</v>
      </c>
      <c r="B135" s="30" t="s">
        <v>410</v>
      </c>
      <c r="C135" s="31"/>
      <c r="D135" s="31"/>
      <c r="E135" s="31"/>
      <c r="I135" s="71"/>
      <c r="J135" s="71"/>
      <c r="K135" s="71"/>
      <c r="L135" s="71"/>
      <c r="M135" s="71"/>
      <c r="N135" s="71"/>
      <c r="O135" s="71"/>
      <c r="P135" s="71" t="s">
        <v>411</v>
      </c>
      <c r="U135" s="30" t="s">
        <v>52</v>
      </c>
      <c r="W135" s="130"/>
      <c r="X135" s="116">
        <f>'[1]Additional information'!$D$18</f>
        <v>0.91</v>
      </c>
      <c r="Y135" s="115" t="str">
        <f t="shared" si="13"/>
        <v/>
      </c>
      <c r="Z135" s="115" t="str">
        <f>IF(AND(W135&lt;&gt;"",U135="yes"),W135*X135,"")</f>
        <v/>
      </c>
    </row>
    <row r="136" spans="1:27" s="30" customFormat="1" ht="16" customHeight="1" x14ac:dyDescent="0.2">
      <c r="A136" s="30" t="s">
        <v>200</v>
      </c>
      <c r="B136" s="30" t="s">
        <v>412</v>
      </c>
      <c r="C136" s="31" t="s">
        <v>413</v>
      </c>
      <c r="D136" s="31" t="s">
        <v>414</v>
      </c>
      <c r="E136" s="31"/>
      <c r="F136" s="30" t="s">
        <v>415</v>
      </c>
      <c r="G136" s="30" t="s">
        <v>416</v>
      </c>
      <c r="I136" s="71" t="s">
        <v>40</v>
      </c>
      <c r="J136" s="71"/>
      <c r="K136" s="71"/>
      <c r="L136" s="71"/>
      <c r="M136" s="71" t="s">
        <v>417</v>
      </c>
      <c r="N136" s="71"/>
      <c r="O136" s="71"/>
      <c r="P136" s="71"/>
      <c r="U136" s="30" t="s">
        <v>52</v>
      </c>
      <c r="W136" s="130">
        <v>17</v>
      </c>
      <c r="X136" s="116">
        <f>'[1]Additional information'!$D$18</f>
        <v>0.91</v>
      </c>
      <c r="Y136" s="115">
        <f t="shared" si="13"/>
        <v>15.47</v>
      </c>
      <c r="Z136" s="115" t="str">
        <f>IF(AND(W136&lt;&gt;"",U136="yes"),W136*X136,"")</f>
        <v/>
      </c>
    </row>
    <row r="137" spans="1:27" s="30" customFormat="1" ht="32" customHeight="1" x14ac:dyDescent="0.2">
      <c r="A137" s="30" t="s">
        <v>77</v>
      </c>
      <c r="B137" s="30" t="s">
        <v>418</v>
      </c>
      <c r="C137" s="31" t="s">
        <v>419</v>
      </c>
      <c r="D137" s="31" t="s">
        <v>3002</v>
      </c>
      <c r="E137" s="31"/>
      <c r="F137" s="30" t="s">
        <v>415</v>
      </c>
      <c r="G137" s="30" t="s">
        <v>416</v>
      </c>
      <c r="I137" s="71" t="s">
        <v>40</v>
      </c>
      <c r="J137" s="71"/>
      <c r="K137" s="71" t="s">
        <v>337</v>
      </c>
      <c r="L137" s="71"/>
      <c r="M137" s="71" t="s">
        <v>420</v>
      </c>
      <c r="N137" s="71"/>
      <c r="O137" s="71"/>
      <c r="P137" s="71"/>
      <c r="U137" s="30" t="s">
        <v>52</v>
      </c>
      <c r="W137" s="130">
        <v>17</v>
      </c>
      <c r="X137" s="116">
        <f>'[1]Additional information'!$D$18</f>
        <v>0.91</v>
      </c>
      <c r="Y137" s="115">
        <f t="shared" si="13"/>
        <v>15.47</v>
      </c>
      <c r="Z137" s="115" t="str">
        <f>IF(AND(W137&lt;&gt;"",U137="yes"),W137*X137,"")</f>
        <v/>
      </c>
    </row>
    <row r="138" spans="1:27" s="315" customFormat="1" x14ac:dyDescent="0.2">
      <c r="A138" s="29"/>
      <c r="B138" s="29"/>
      <c r="C138" s="313"/>
      <c r="D138" s="314"/>
      <c r="E138" s="313"/>
      <c r="I138" s="316"/>
      <c r="J138" s="316"/>
      <c r="K138" s="316"/>
      <c r="L138" s="316"/>
      <c r="M138" s="316"/>
      <c r="N138" s="316"/>
      <c r="O138" s="316"/>
      <c r="P138" s="316"/>
      <c r="W138" s="317"/>
      <c r="X138" s="318"/>
      <c r="Y138" s="319"/>
      <c r="Z138" s="319"/>
    </row>
    <row r="139" spans="1:27" ht="32" customHeight="1" x14ac:dyDescent="0.2">
      <c r="A139" s="28" t="s">
        <v>223</v>
      </c>
      <c r="B139" s="28" t="s">
        <v>421</v>
      </c>
      <c r="C139" s="19" t="s">
        <v>422</v>
      </c>
      <c r="D139" s="19" t="s">
        <v>3003</v>
      </c>
      <c r="E139" s="41"/>
      <c r="G139" s="30"/>
      <c r="H139" s="42"/>
      <c r="I139" s="70" t="s">
        <v>40</v>
      </c>
      <c r="J139" s="70"/>
      <c r="K139" s="70"/>
      <c r="L139" s="70"/>
      <c r="M139" s="72" t="s">
        <v>371</v>
      </c>
      <c r="N139" s="70"/>
      <c r="O139" s="70"/>
      <c r="P139" s="70"/>
      <c r="U139" s="20" t="s">
        <v>42</v>
      </c>
      <c r="W139" s="126">
        <v>19.364946365356449</v>
      </c>
      <c r="X139" s="111">
        <f>'[2]Additional information'!$D$18</f>
        <v>0.91</v>
      </c>
      <c r="Y139" s="112">
        <f>IF(W139&lt;&gt;"",W139*X139,"")</f>
        <v>17.622101192474368</v>
      </c>
      <c r="Z139" s="112">
        <f>IF(AND(W139&lt;&gt;"",U139="yes"),W139*X139,"")</f>
        <v>17.622101192474368</v>
      </c>
    </row>
    <row r="140" spans="1:27" x14ac:dyDescent="0.2">
      <c r="E140" s="41"/>
      <c r="H140" s="42"/>
      <c r="M140" s="82"/>
      <c r="W140" s="126"/>
      <c r="Y140" s="112"/>
      <c r="Z140" s="112"/>
    </row>
    <row r="141" spans="1:27" s="29" customFormat="1" x14ac:dyDescent="0.2">
      <c r="C141" s="22"/>
      <c r="D141" s="22"/>
      <c r="E141" s="22"/>
      <c r="I141" s="82"/>
      <c r="J141" s="82"/>
      <c r="K141" s="82"/>
      <c r="L141" s="82"/>
      <c r="M141" s="82"/>
      <c r="N141" s="82"/>
      <c r="O141" s="82"/>
      <c r="P141" s="82"/>
      <c r="W141" s="126"/>
      <c r="X141" s="111"/>
      <c r="Y141" s="112"/>
      <c r="Z141" s="112"/>
    </row>
    <row r="142" spans="1:27" s="287" customFormat="1" ht="30" customHeight="1" x14ac:dyDescent="0.2">
      <c r="A142" s="287" t="s">
        <v>423</v>
      </c>
      <c r="B142" s="287" t="s">
        <v>424</v>
      </c>
      <c r="C142" s="290" t="s">
        <v>425</v>
      </c>
      <c r="D142" s="289" t="s">
        <v>426</v>
      </c>
      <c r="E142" s="290"/>
      <c r="I142" s="291" t="b">
        <v>1</v>
      </c>
      <c r="J142" s="291"/>
      <c r="K142" s="291"/>
      <c r="L142" s="291"/>
      <c r="M142" s="291"/>
      <c r="N142" s="291"/>
      <c r="O142" s="291"/>
      <c r="P142" s="291"/>
      <c r="W142" s="141">
        <v>17</v>
      </c>
      <c r="X142" s="142">
        <f>'Additional information'!$E$18</f>
        <v>0.35</v>
      </c>
      <c r="Y142" s="143">
        <f>IF(W142&lt;&gt;"",W142*X142,"")</f>
        <v>5.9499999999999993</v>
      </c>
      <c r="Z142" s="143"/>
    </row>
    <row r="143" spans="1:27" s="287" customFormat="1" ht="16" customHeight="1" x14ac:dyDescent="0.2">
      <c r="A143" s="284" t="s">
        <v>66</v>
      </c>
      <c r="B143" s="287" t="s">
        <v>427</v>
      </c>
      <c r="C143" s="290" t="s">
        <v>353</v>
      </c>
      <c r="D143" s="283" t="s">
        <v>354</v>
      </c>
      <c r="E143" s="290"/>
      <c r="I143" s="291" t="b">
        <v>1</v>
      </c>
      <c r="J143" s="291"/>
      <c r="K143" s="291"/>
      <c r="L143" s="291"/>
      <c r="M143" s="292" t="s">
        <v>428</v>
      </c>
      <c r="N143" s="291"/>
      <c r="O143" s="291"/>
      <c r="P143" s="291"/>
      <c r="W143" s="141"/>
      <c r="X143" s="142"/>
      <c r="Y143" s="143"/>
      <c r="Z143" s="143"/>
    </row>
    <row r="144" spans="1:27" s="30" customFormat="1" x14ac:dyDescent="0.2">
      <c r="C144" s="31"/>
      <c r="D144" s="21"/>
      <c r="E144" s="32"/>
      <c r="G144" s="20"/>
      <c r="H144" s="36"/>
      <c r="I144" s="71"/>
      <c r="J144" s="71"/>
      <c r="K144" s="71"/>
      <c r="L144" s="71"/>
      <c r="M144" s="71"/>
      <c r="N144" s="71"/>
      <c r="O144" s="71"/>
      <c r="P144" s="71"/>
      <c r="W144" s="126"/>
      <c r="X144" s="111">
        <f>'Additional information'!$E$18</f>
        <v>0.35</v>
      </c>
      <c r="Y144" s="112" t="str">
        <f t="shared" ref="Y144:Y175" si="14">IF(W144&lt;&gt;"",W144*X144,"")</f>
        <v/>
      </c>
      <c r="Z144" s="112" t="str">
        <f t="shared" ref="Z144:Z151" si="15">IF(AND(W144&lt;&gt;"",U144="yes"),W144*X144,"")</f>
        <v/>
      </c>
      <c r="AA144" s="29"/>
    </row>
    <row r="145" spans="1:27" ht="32" customHeight="1" x14ac:dyDescent="0.2">
      <c r="A145" s="28" t="s">
        <v>102</v>
      </c>
      <c r="B145" s="28" t="s">
        <v>429</v>
      </c>
      <c r="C145" s="19" t="s">
        <v>430</v>
      </c>
      <c r="D145" s="19" t="s">
        <v>3004</v>
      </c>
      <c r="E145" s="41"/>
      <c r="H145" s="42"/>
      <c r="I145" s="70" t="s">
        <v>40</v>
      </c>
      <c r="J145" s="70"/>
      <c r="K145" s="70"/>
      <c r="L145" s="70"/>
      <c r="M145" s="72" t="s">
        <v>431</v>
      </c>
      <c r="N145" s="70"/>
      <c r="O145" s="70"/>
      <c r="P145" s="70"/>
      <c r="U145" s="20" t="s">
        <v>42</v>
      </c>
      <c r="W145" s="126">
        <v>13.458864212036129</v>
      </c>
      <c r="X145" s="111">
        <f>'Additional information'!$E$18</f>
        <v>0.35</v>
      </c>
      <c r="Y145" s="112">
        <f t="shared" si="14"/>
        <v>4.7106024742126449</v>
      </c>
      <c r="Z145" s="112">
        <f t="shared" si="15"/>
        <v>4.7106024742126449</v>
      </c>
    </row>
    <row r="146" spans="1:27" ht="32" customHeight="1" x14ac:dyDescent="0.2">
      <c r="A146" s="28" t="s">
        <v>432</v>
      </c>
      <c r="B146" s="28" t="s">
        <v>433</v>
      </c>
      <c r="C146" s="19" t="s">
        <v>434</v>
      </c>
      <c r="D146" s="19" t="s">
        <v>3005</v>
      </c>
      <c r="E146" s="41"/>
      <c r="F146" s="20" t="s">
        <v>435</v>
      </c>
      <c r="G146" s="20" t="s">
        <v>436</v>
      </c>
      <c r="H146" s="42"/>
      <c r="I146" s="70" t="s">
        <v>40</v>
      </c>
      <c r="J146" s="70"/>
      <c r="K146" s="72" t="s">
        <v>390</v>
      </c>
      <c r="L146" s="70"/>
      <c r="M146" s="72" t="s">
        <v>437</v>
      </c>
      <c r="N146" s="70"/>
      <c r="O146" s="70"/>
      <c r="P146" s="70"/>
      <c r="U146" s="20" t="s">
        <v>42</v>
      </c>
      <c r="W146" s="126">
        <v>37.523288726806641</v>
      </c>
      <c r="X146" s="111">
        <f>'Additional information'!$E$18</f>
        <v>0.35</v>
      </c>
      <c r="Y146" s="112">
        <f t="shared" si="14"/>
        <v>13.133151054382324</v>
      </c>
      <c r="Z146" s="112">
        <f t="shared" si="15"/>
        <v>13.133151054382324</v>
      </c>
    </row>
    <row r="147" spans="1:27" x14ac:dyDescent="0.2">
      <c r="E147" s="41"/>
      <c r="G147" s="30"/>
      <c r="H147" s="42"/>
      <c r="M147" s="82"/>
      <c r="W147" s="126"/>
      <c r="X147" s="111">
        <f>'Additional information'!$E$18</f>
        <v>0.35</v>
      </c>
      <c r="Y147" s="112" t="str">
        <f t="shared" si="14"/>
        <v/>
      </c>
      <c r="Z147" s="112" t="str">
        <f t="shared" si="15"/>
        <v/>
      </c>
    </row>
    <row r="148" spans="1:27" s="30" customFormat="1" ht="32" customHeight="1" x14ac:dyDescent="0.2">
      <c r="A148" s="30" t="s">
        <v>438</v>
      </c>
      <c r="B148" s="30" t="s">
        <v>439</v>
      </c>
      <c r="C148" s="31" t="s">
        <v>440</v>
      </c>
      <c r="D148" s="31" t="s">
        <v>441</v>
      </c>
      <c r="E148" s="32"/>
      <c r="H148" s="36"/>
      <c r="I148" s="71" t="s">
        <v>40</v>
      </c>
      <c r="J148" s="71"/>
      <c r="K148" s="71"/>
      <c r="L148" s="71"/>
      <c r="M148" s="71" t="s">
        <v>442</v>
      </c>
      <c r="N148" s="71"/>
      <c r="O148" s="71"/>
      <c r="P148" s="71"/>
      <c r="U148" s="30" t="s">
        <v>52</v>
      </c>
      <c r="W148" s="126">
        <v>17</v>
      </c>
      <c r="X148" s="111">
        <f>'Additional information'!$E$18</f>
        <v>0.35</v>
      </c>
      <c r="Y148" s="112">
        <f t="shared" si="14"/>
        <v>5.9499999999999993</v>
      </c>
      <c r="Z148" s="112" t="str">
        <f t="shared" si="15"/>
        <v/>
      </c>
      <c r="AA148" s="29"/>
    </row>
    <row r="149" spans="1:27" s="30" customFormat="1" ht="32" customHeight="1" x14ac:dyDescent="0.2">
      <c r="A149" s="30" t="s">
        <v>443</v>
      </c>
      <c r="B149" s="30" t="s">
        <v>444</v>
      </c>
      <c r="C149" s="31" t="s">
        <v>445</v>
      </c>
      <c r="D149" s="31" t="s">
        <v>446</v>
      </c>
      <c r="E149" s="32"/>
      <c r="F149" s="30" t="s">
        <v>447</v>
      </c>
      <c r="G149" s="30" t="s">
        <v>448</v>
      </c>
      <c r="H149" s="36"/>
      <c r="I149" s="71" t="s">
        <v>40</v>
      </c>
      <c r="J149" s="71" t="s">
        <v>94</v>
      </c>
      <c r="K149" s="71" t="s">
        <v>449</v>
      </c>
      <c r="L149" s="71"/>
      <c r="M149" s="71" t="s">
        <v>442</v>
      </c>
      <c r="N149" s="71" t="s">
        <v>450</v>
      </c>
      <c r="O149" s="77"/>
      <c r="P149" s="77"/>
      <c r="Q149" s="20"/>
      <c r="U149" s="30" t="s">
        <v>52</v>
      </c>
      <c r="W149" s="126">
        <v>17</v>
      </c>
      <c r="X149" s="111">
        <f>'Additional information'!$E$18</f>
        <v>0.35</v>
      </c>
      <c r="Y149" s="112">
        <f t="shared" si="14"/>
        <v>5.9499999999999993</v>
      </c>
      <c r="Z149" s="112" t="str">
        <f t="shared" si="15"/>
        <v/>
      </c>
      <c r="AA149" s="29"/>
    </row>
    <row r="150" spans="1:27" ht="16" customHeight="1" thickBot="1" x14ac:dyDescent="0.25">
      <c r="A150" s="54" t="s">
        <v>118</v>
      </c>
      <c r="B150" s="54"/>
      <c r="C150" s="55"/>
      <c r="D150" s="55"/>
      <c r="E150" s="62"/>
      <c r="F150" s="148"/>
      <c r="G150" s="148"/>
      <c r="H150" s="63"/>
      <c r="I150" s="83"/>
      <c r="J150" s="83"/>
      <c r="K150" s="83"/>
      <c r="L150" s="83"/>
      <c r="M150" s="83"/>
      <c r="N150" s="83"/>
      <c r="O150" s="83"/>
      <c r="P150" s="83"/>
      <c r="W150" s="126"/>
      <c r="Y150" s="112" t="str">
        <f t="shared" si="14"/>
        <v/>
      </c>
      <c r="Z150" s="112" t="str">
        <f t="shared" si="15"/>
        <v/>
      </c>
    </row>
    <row r="151" spans="1:27" s="26" customFormat="1" ht="17" customHeight="1" thickTop="1" x14ac:dyDescent="0.2">
      <c r="A151" s="23" t="s">
        <v>61</v>
      </c>
      <c r="B151" s="23" t="s">
        <v>451</v>
      </c>
      <c r="C151" s="47" t="s">
        <v>452</v>
      </c>
      <c r="D151" s="333" t="s">
        <v>453</v>
      </c>
      <c r="E151" s="24"/>
      <c r="F151" s="23"/>
      <c r="G151" s="23"/>
      <c r="H151" s="25"/>
      <c r="I151" s="75" t="s">
        <v>51</v>
      </c>
      <c r="J151" s="75"/>
      <c r="K151" s="75"/>
      <c r="L151" s="75"/>
      <c r="M151" s="75" t="s">
        <v>454</v>
      </c>
      <c r="N151" s="75"/>
      <c r="O151" s="75"/>
      <c r="P151" s="75"/>
      <c r="U151" s="20" t="s">
        <v>42</v>
      </c>
      <c r="W151" s="126"/>
      <c r="X151" s="111"/>
      <c r="Y151" s="112" t="str">
        <f t="shared" si="14"/>
        <v/>
      </c>
      <c r="Z151" s="112" t="str">
        <f t="shared" si="15"/>
        <v/>
      </c>
      <c r="AA151" s="27"/>
    </row>
    <row r="152" spans="1:27" s="284" customFormat="1" ht="16" customHeight="1" x14ac:dyDescent="0.2">
      <c r="A152" s="287" t="s">
        <v>455</v>
      </c>
      <c r="B152" s="284" t="s">
        <v>456</v>
      </c>
      <c r="C152" s="283" t="s">
        <v>457</v>
      </c>
      <c r="D152" s="283" t="s">
        <v>458</v>
      </c>
      <c r="E152" s="283"/>
      <c r="F152" s="308" t="s">
        <v>459</v>
      </c>
      <c r="I152" s="286" t="b">
        <v>1</v>
      </c>
      <c r="J152" s="286"/>
      <c r="K152" s="286"/>
      <c r="L152" s="286"/>
      <c r="M152" s="291"/>
      <c r="N152" s="286"/>
      <c r="O152" s="286"/>
      <c r="P152" s="286"/>
      <c r="W152" s="141">
        <v>5</v>
      </c>
      <c r="X152" s="142">
        <f>'Additional information'!$E$18</f>
        <v>0.35</v>
      </c>
      <c r="Y152" s="112">
        <f t="shared" si="14"/>
        <v>1.75</v>
      </c>
      <c r="Z152" s="143"/>
      <c r="AA152" s="287"/>
    </row>
    <row r="153" spans="1:27" s="308" customFormat="1" ht="32" customHeight="1" x14ac:dyDescent="0.2">
      <c r="A153" s="287" t="s">
        <v>460</v>
      </c>
      <c r="B153" s="287" t="s">
        <v>461</v>
      </c>
      <c r="C153" s="309" t="s">
        <v>462</v>
      </c>
      <c r="D153" s="290" t="s">
        <v>463</v>
      </c>
      <c r="E153" s="309"/>
      <c r="I153" s="286" t="b">
        <v>1</v>
      </c>
      <c r="J153" s="310"/>
      <c r="K153" s="310"/>
      <c r="L153" s="310"/>
      <c r="M153" s="310"/>
      <c r="N153" s="310"/>
      <c r="O153" s="310"/>
      <c r="P153" s="310"/>
      <c r="W153" s="311">
        <v>5</v>
      </c>
      <c r="X153" s="142">
        <f>'Additional information'!$E$18</f>
        <v>0.35</v>
      </c>
      <c r="Y153" s="112">
        <f t="shared" si="14"/>
        <v>1.75</v>
      </c>
      <c r="Z153" s="312"/>
    </row>
    <row r="154" spans="1:27" s="308" customFormat="1" ht="16" customHeight="1" x14ac:dyDescent="0.2">
      <c r="A154" s="287" t="s">
        <v>66</v>
      </c>
      <c r="B154" s="287" t="s">
        <v>464</v>
      </c>
      <c r="C154" s="290" t="s">
        <v>353</v>
      </c>
      <c r="D154" s="290" t="s">
        <v>309</v>
      </c>
      <c r="E154" s="309"/>
      <c r="I154" s="286" t="b">
        <v>1</v>
      </c>
      <c r="J154" s="310"/>
      <c r="K154" s="310"/>
      <c r="L154" s="310"/>
      <c r="M154" s="310" t="s">
        <v>465</v>
      </c>
      <c r="N154" s="310"/>
      <c r="O154" s="310"/>
      <c r="P154" s="310"/>
      <c r="W154" s="311"/>
      <c r="X154" s="142">
        <f>'Additional information'!$E$18</f>
        <v>0.35</v>
      </c>
      <c r="Y154" s="112" t="str">
        <f t="shared" si="14"/>
        <v/>
      </c>
      <c r="Z154" s="312"/>
    </row>
    <row r="155" spans="1:27" s="308" customFormat="1" ht="32" customHeight="1" x14ac:dyDescent="0.2">
      <c r="A155" s="287" t="s">
        <v>102</v>
      </c>
      <c r="B155" s="287" t="s">
        <v>466</v>
      </c>
      <c r="C155" s="309" t="s">
        <v>467</v>
      </c>
      <c r="D155" s="290" t="s">
        <v>468</v>
      </c>
      <c r="E155" s="309"/>
      <c r="F155" s="308" t="s">
        <v>459</v>
      </c>
      <c r="I155" s="286" t="b">
        <v>1</v>
      </c>
      <c r="J155" s="310"/>
      <c r="K155" s="310"/>
      <c r="L155" s="310"/>
      <c r="M155" s="310"/>
      <c r="N155" s="310"/>
      <c r="O155" s="310"/>
      <c r="P155" s="310"/>
      <c r="W155" s="311">
        <v>5</v>
      </c>
      <c r="X155" s="142">
        <f>'Additional information'!$E$18</f>
        <v>0.35</v>
      </c>
      <c r="Y155" s="112">
        <f t="shared" si="14"/>
        <v>1.75</v>
      </c>
      <c r="Z155" s="312"/>
    </row>
    <row r="156" spans="1:27" s="308" customFormat="1" ht="32" customHeight="1" x14ac:dyDescent="0.2">
      <c r="A156" s="287" t="s">
        <v>469</v>
      </c>
      <c r="B156" s="287" t="s">
        <v>470</v>
      </c>
      <c r="C156" s="309" t="s">
        <v>471</v>
      </c>
      <c r="D156" s="307" t="s">
        <v>472</v>
      </c>
      <c r="E156" s="309"/>
      <c r="I156" s="286" t="b">
        <v>1</v>
      </c>
      <c r="J156" s="310"/>
      <c r="K156" s="310"/>
      <c r="L156" s="310"/>
      <c r="M156" s="310" t="s">
        <v>473</v>
      </c>
      <c r="N156" s="310"/>
      <c r="O156" s="310"/>
      <c r="P156" s="310"/>
      <c r="W156" s="311">
        <v>10</v>
      </c>
      <c r="X156" s="142">
        <f>'Additional information'!$E$18</f>
        <v>0.35</v>
      </c>
      <c r="Y156" s="112">
        <f t="shared" si="14"/>
        <v>3.5</v>
      </c>
      <c r="Z156" s="312"/>
    </row>
    <row r="157" spans="1:27" s="308" customFormat="1" ht="15.5" customHeight="1" x14ac:dyDescent="0.2">
      <c r="A157" s="287" t="s">
        <v>474</v>
      </c>
      <c r="B157" s="287" t="s">
        <v>475</v>
      </c>
      <c r="C157" s="309" t="s">
        <v>476</v>
      </c>
      <c r="D157" s="290" t="s">
        <v>477</v>
      </c>
      <c r="E157" s="309"/>
      <c r="I157" s="286" t="b">
        <v>1</v>
      </c>
      <c r="J157" s="310"/>
      <c r="K157" s="310"/>
      <c r="L157" s="310"/>
      <c r="M157" s="310"/>
      <c r="N157" s="310"/>
      <c r="O157" s="310"/>
      <c r="P157" s="310"/>
      <c r="W157" s="311">
        <v>10</v>
      </c>
      <c r="X157" s="142">
        <f>'Additional information'!$E$18</f>
        <v>0.35</v>
      </c>
      <c r="Y157" s="112">
        <f t="shared" si="14"/>
        <v>3.5</v>
      </c>
      <c r="Z157" s="312"/>
    </row>
    <row r="158" spans="1:27" s="308" customFormat="1" ht="16" customHeight="1" x14ac:dyDescent="0.2">
      <c r="A158" s="287" t="s">
        <v>478</v>
      </c>
      <c r="B158" s="287" t="s">
        <v>479</v>
      </c>
      <c r="C158" s="309" t="s">
        <v>480</v>
      </c>
      <c r="D158" s="281" t="s">
        <v>481</v>
      </c>
      <c r="E158" s="309"/>
      <c r="I158" s="286" t="b">
        <v>1</v>
      </c>
      <c r="J158" s="310"/>
      <c r="K158" s="310"/>
      <c r="L158" s="310"/>
      <c r="M158" s="310" t="s">
        <v>482</v>
      </c>
      <c r="N158" s="310"/>
      <c r="O158" s="310"/>
      <c r="P158" s="310"/>
      <c r="W158" s="311">
        <v>17</v>
      </c>
      <c r="X158" s="142">
        <f>'Additional information'!$E$18</f>
        <v>0.35</v>
      </c>
      <c r="Y158" s="112">
        <f t="shared" si="14"/>
        <v>5.9499999999999993</v>
      </c>
      <c r="Z158" s="312"/>
    </row>
    <row r="159" spans="1:27" s="308" customFormat="1" ht="16" customHeight="1" x14ac:dyDescent="0.2">
      <c r="A159" s="287" t="s">
        <v>102</v>
      </c>
      <c r="B159" s="287" t="s">
        <v>483</v>
      </c>
      <c r="C159" s="309" t="s">
        <v>484</v>
      </c>
      <c r="D159" s="290" t="s">
        <v>485</v>
      </c>
      <c r="E159" s="309"/>
      <c r="I159" s="286" t="b">
        <v>1</v>
      </c>
      <c r="J159" s="310"/>
      <c r="K159" s="310"/>
      <c r="L159" s="310"/>
      <c r="M159" s="310" t="s">
        <v>486</v>
      </c>
      <c r="N159" s="310"/>
      <c r="O159" s="310"/>
      <c r="P159" s="310"/>
      <c r="W159" s="311">
        <v>5</v>
      </c>
      <c r="X159" s="142">
        <f>'Additional information'!$E$18</f>
        <v>0.35</v>
      </c>
      <c r="Y159" s="112">
        <f t="shared" si="14"/>
        <v>1.75</v>
      </c>
      <c r="Z159" s="312"/>
    </row>
    <row r="160" spans="1:27" s="308" customFormat="1" ht="16" customHeight="1" x14ac:dyDescent="0.2">
      <c r="A160" s="287" t="s">
        <v>66</v>
      </c>
      <c r="B160" s="287" t="s">
        <v>487</v>
      </c>
      <c r="C160" s="309" t="s">
        <v>488</v>
      </c>
      <c r="D160" s="281" t="s">
        <v>489</v>
      </c>
      <c r="E160" s="309"/>
      <c r="I160" s="286" t="b">
        <v>1</v>
      </c>
      <c r="J160" s="310"/>
      <c r="K160" s="310"/>
      <c r="L160" s="310"/>
      <c r="M160" s="310" t="s">
        <v>490</v>
      </c>
      <c r="N160" s="310"/>
      <c r="O160" s="310"/>
      <c r="P160" s="310"/>
      <c r="W160" s="311">
        <v>5</v>
      </c>
      <c r="X160" s="142">
        <f>'Additional information'!$E$18</f>
        <v>0.35</v>
      </c>
      <c r="Y160" s="112">
        <f t="shared" si="14"/>
        <v>1.75</v>
      </c>
      <c r="Z160" s="312"/>
    </row>
    <row r="161" spans="1:27" s="308" customFormat="1" ht="16" customHeight="1" x14ac:dyDescent="0.2">
      <c r="A161" s="287" t="s">
        <v>491</v>
      </c>
      <c r="B161" s="287" t="s">
        <v>492</v>
      </c>
      <c r="C161" s="309" t="s">
        <v>493</v>
      </c>
      <c r="D161" s="290" t="s">
        <v>494</v>
      </c>
      <c r="E161" s="309"/>
      <c r="I161" s="286" t="b">
        <v>1</v>
      </c>
      <c r="J161" s="310"/>
      <c r="K161" s="310"/>
      <c r="L161" s="310"/>
      <c r="M161" s="310"/>
      <c r="N161" s="310"/>
      <c r="O161" s="310"/>
      <c r="P161" s="310"/>
      <c r="W161" s="311">
        <v>5</v>
      </c>
      <c r="X161" s="142">
        <f>'Additional information'!$E$18</f>
        <v>0.35</v>
      </c>
      <c r="Y161" s="112">
        <f t="shared" si="14"/>
        <v>1.75</v>
      </c>
      <c r="Z161" s="312"/>
    </row>
    <row r="162" spans="1:27" s="308" customFormat="1" ht="16" customHeight="1" x14ac:dyDescent="0.2">
      <c r="A162" s="287" t="s">
        <v>66</v>
      </c>
      <c r="B162" s="287" t="s">
        <v>495</v>
      </c>
      <c r="C162" s="283" t="s">
        <v>399</v>
      </c>
      <c r="D162" s="307" t="s">
        <v>309</v>
      </c>
      <c r="E162" s="309"/>
      <c r="I162" s="286" t="b">
        <v>1</v>
      </c>
      <c r="J162" s="310"/>
      <c r="K162" s="310"/>
      <c r="L162" s="310"/>
      <c r="M162" s="310" t="s">
        <v>496</v>
      </c>
      <c r="N162" s="310"/>
      <c r="O162" s="310"/>
      <c r="P162" s="310"/>
      <c r="W162" s="311"/>
      <c r="X162" s="142">
        <f>'Additional information'!$E$18</f>
        <v>0.35</v>
      </c>
      <c r="Y162" s="112" t="str">
        <f t="shared" si="14"/>
        <v/>
      </c>
      <c r="Z162" s="312"/>
    </row>
    <row r="163" spans="1:27" s="308" customFormat="1" ht="19.25" customHeight="1" x14ac:dyDescent="0.2">
      <c r="A163" s="287" t="s">
        <v>497</v>
      </c>
      <c r="B163" s="287" t="s">
        <v>498</v>
      </c>
      <c r="C163" s="309" t="s">
        <v>499</v>
      </c>
      <c r="D163" s="307" t="s">
        <v>500</v>
      </c>
      <c r="E163" s="309"/>
      <c r="F163" s="308" t="s">
        <v>459</v>
      </c>
      <c r="I163" s="286" t="b">
        <v>1</v>
      </c>
      <c r="J163" s="310"/>
      <c r="K163" s="310"/>
      <c r="L163" s="310"/>
      <c r="M163" s="310" t="s">
        <v>501</v>
      </c>
      <c r="N163" s="310"/>
      <c r="O163" s="310"/>
      <c r="P163" s="310"/>
      <c r="W163" s="311">
        <v>5</v>
      </c>
      <c r="X163" s="142">
        <f>'Additional information'!$E$18</f>
        <v>0.35</v>
      </c>
      <c r="Y163" s="112">
        <f t="shared" si="14"/>
        <v>1.75</v>
      </c>
      <c r="Z163" s="312"/>
    </row>
    <row r="164" spans="1:27" s="308" customFormat="1" ht="16" customHeight="1" x14ac:dyDescent="0.2">
      <c r="A164" s="287" t="s">
        <v>66</v>
      </c>
      <c r="B164" s="287" t="s">
        <v>502</v>
      </c>
      <c r="C164" s="308" t="s">
        <v>308</v>
      </c>
      <c r="D164" s="307" t="s">
        <v>309</v>
      </c>
      <c r="E164" s="309"/>
      <c r="I164" s="286" t="b">
        <v>1</v>
      </c>
      <c r="J164" s="310"/>
      <c r="K164" s="310"/>
      <c r="L164" s="310"/>
      <c r="M164" s="310" t="s">
        <v>503</v>
      </c>
      <c r="N164" s="310"/>
      <c r="O164" s="310"/>
      <c r="P164" s="310"/>
      <c r="W164" s="311"/>
      <c r="X164" s="142">
        <f>'Additional information'!$E$18</f>
        <v>0.35</v>
      </c>
      <c r="Y164" s="112" t="str">
        <f t="shared" si="14"/>
        <v/>
      </c>
      <c r="Z164" s="312"/>
    </row>
    <row r="165" spans="1:27" s="308" customFormat="1" ht="16" customHeight="1" x14ac:dyDescent="0.2">
      <c r="A165" s="287" t="s">
        <v>504</v>
      </c>
      <c r="B165" s="287" t="s">
        <v>505</v>
      </c>
      <c r="C165" s="308" t="s">
        <v>506</v>
      </c>
      <c r="D165" s="307" t="s">
        <v>507</v>
      </c>
      <c r="E165" s="309"/>
      <c r="I165" s="286" t="b">
        <v>1</v>
      </c>
      <c r="J165" s="310"/>
      <c r="K165" s="310"/>
      <c r="L165" s="310"/>
      <c r="M165" s="310" t="s">
        <v>508</v>
      </c>
      <c r="N165" s="310"/>
      <c r="O165" s="310"/>
      <c r="P165" s="310"/>
      <c r="W165" s="311">
        <v>5</v>
      </c>
      <c r="X165" s="142">
        <f>'Additional information'!$E$18</f>
        <v>0.35</v>
      </c>
      <c r="Y165" s="112">
        <f t="shared" si="14"/>
        <v>1.75</v>
      </c>
      <c r="Z165" s="312"/>
    </row>
    <row r="166" spans="1:27" s="308" customFormat="1" ht="16" customHeight="1" x14ac:dyDescent="0.2">
      <c r="A166" s="287" t="s">
        <v>66</v>
      </c>
      <c r="B166" s="287" t="s">
        <v>509</v>
      </c>
      <c r="C166" s="308" t="s">
        <v>308</v>
      </c>
      <c r="D166" s="307" t="s">
        <v>309</v>
      </c>
      <c r="E166" s="309"/>
      <c r="I166" s="286" t="b">
        <v>1</v>
      </c>
      <c r="J166" s="310"/>
      <c r="K166" s="310"/>
      <c r="L166" s="310"/>
      <c r="M166" s="310" t="s">
        <v>510</v>
      </c>
      <c r="N166" s="310"/>
      <c r="O166" s="310"/>
      <c r="P166" s="310"/>
      <c r="W166" s="311"/>
      <c r="X166" s="142">
        <f>'Additional information'!$E$18</f>
        <v>0.35</v>
      </c>
      <c r="Y166" s="112" t="str">
        <f t="shared" si="14"/>
        <v/>
      </c>
      <c r="Z166" s="312"/>
    </row>
    <row r="167" spans="1:27" ht="16" customHeight="1" thickBot="1" x14ac:dyDescent="0.25">
      <c r="A167" s="54" t="s">
        <v>118</v>
      </c>
      <c r="B167" s="54"/>
      <c r="C167" s="55"/>
      <c r="D167" s="55"/>
      <c r="E167" s="62"/>
      <c r="F167" s="148"/>
      <c r="G167" s="148"/>
      <c r="H167" s="63"/>
      <c r="I167" s="83"/>
      <c r="J167" s="83"/>
      <c r="K167" s="83"/>
      <c r="L167" s="83"/>
      <c r="M167" s="83"/>
      <c r="N167" s="83"/>
      <c r="O167" s="83"/>
      <c r="P167" s="83"/>
      <c r="W167" s="126"/>
      <c r="Y167" s="112" t="str">
        <f t="shared" si="14"/>
        <v/>
      </c>
      <c r="Z167" s="112" t="str">
        <f>IF(AND(W167&lt;&gt;"",U167="yes"),W167*X167,"")</f>
        <v/>
      </c>
    </row>
    <row r="168" spans="1:27" s="26" customFormat="1" ht="17" customHeight="1" thickTop="1" x14ac:dyDescent="0.2">
      <c r="A168" s="23" t="s">
        <v>61</v>
      </c>
      <c r="B168" s="23" t="s">
        <v>511</v>
      </c>
      <c r="C168" s="21" t="s">
        <v>512</v>
      </c>
      <c r="D168" s="48" t="s">
        <v>513</v>
      </c>
      <c r="E168" s="24"/>
      <c r="F168" s="23"/>
      <c r="G168" s="23"/>
      <c r="H168" s="25"/>
      <c r="I168" s="75" t="s">
        <v>51</v>
      </c>
      <c r="J168" s="75"/>
      <c r="K168" s="75"/>
      <c r="L168" s="75"/>
      <c r="M168" s="75" t="s">
        <v>514</v>
      </c>
      <c r="N168" s="75"/>
      <c r="O168" s="75"/>
      <c r="P168" s="75"/>
      <c r="U168" s="20" t="s">
        <v>42</v>
      </c>
      <c r="W168" s="126"/>
      <c r="X168" s="111"/>
      <c r="Y168" s="112" t="str">
        <f t="shared" si="14"/>
        <v/>
      </c>
      <c r="Z168" s="112" t="str">
        <f>IF(AND(W168&lt;&gt;"",U168="yes"),W168*X168,"")</f>
        <v/>
      </c>
      <c r="AA168" s="27"/>
    </row>
    <row r="169" spans="1:27" s="308" customFormat="1" ht="16" customHeight="1" x14ac:dyDescent="0.2">
      <c r="A169" s="287" t="s">
        <v>455</v>
      </c>
      <c r="B169" s="284" t="s">
        <v>515</v>
      </c>
      <c r="C169" s="283" t="s">
        <v>516</v>
      </c>
      <c r="D169" s="283" t="s">
        <v>517</v>
      </c>
      <c r="E169" s="309"/>
      <c r="I169" s="286" t="b">
        <v>1</v>
      </c>
      <c r="J169" s="310"/>
      <c r="K169" s="310"/>
      <c r="L169" s="310"/>
      <c r="M169" s="291"/>
      <c r="N169" s="310"/>
      <c r="O169" s="310"/>
      <c r="P169" s="310"/>
      <c r="W169" s="311">
        <v>5</v>
      </c>
      <c r="X169" s="142">
        <f>'Additional information'!$E$18</f>
        <v>0.35</v>
      </c>
      <c r="Y169" s="112">
        <f t="shared" si="14"/>
        <v>1.75</v>
      </c>
      <c r="Z169" s="312"/>
    </row>
    <row r="170" spans="1:27" s="308" customFormat="1" ht="16" customHeight="1" x14ac:dyDescent="0.2">
      <c r="A170" s="287" t="s">
        <v>460</v>
      </c>
      <c r="B170" s="287" t="s">
        <v>518</v>
      </c>
      <c r="C170" s="309" t="s">
        <v>519</v>
      </c>
      <c r="D170" s="307" t="s">
        <v>520</v>
      </c>
      <c r="E170" s="309"/>
      <c r="F170" s="308" t="s">
        <v>459</v>
      </c>
      <c r="I170" s="286" t="b">
        <v>1</v>
      </c>
      <c r="J170" s="310"/>
      <c r="K170" s="310"/>
      <c r="L170" s="310"/>
      <c r="M170" s="310"/>
      <c r="N170" s="310"/>
      <c r="O170" s="310"/>
      <c r="P170" s="310"/>
      <c r="W170" s="311">
        <v>5</v>
      </c>
      <c r="X170" s="142">
        <f>'Additional information'!$E$18</f>
        <v>0.35</v>
      </c>
      <c r="Y170" s="112">
        <f t="shared" si="14"/>
        <v>1.75</v>
      </c>
      <c r="Z170" s="312"/>
    </row>
    <row r="171" spans="1:27" s="308" customFormat="1" ht="16" customHeight="1" x14ac:dyDescent="0.2">
      <c r="A171" s="287" t="s">
        <v>66</v>
      </c>
      <c r="B171" s="287" t="s">
        <v>521</v>
      </c>
      <c r="C171" s="290" t="s">
        <v>353</v>
      </c>
      <c r="D171" s="307" t="s">
        <v>309</v>
      </c>
      <c r="E171" s="309"/>
      <c r="I171" s="286" t="b">
        <v>1</v>
      </c>
      <c r="J171" s="310"/>
      <c r="K171" s="310"/>
      <c r="L171" s="310"/>
      <c r="M171" s="310" t="s">
        <v>522</v>
      </c>
      <c r="N171" s="310"/>
      <c r="O171" s="310"/>
      <c r="P171" s="310"/>
      <c r="W171" s="311"/>
      <c r="X171" s="142">
        <f>'Additional information'!$E$18</f>
        <v>0.35</v>
      </c>
      <c r="Y171" s="112" t="str">
        <f t="shared" si="14"/>
        <v/>
      </c>
      <c r="Z171" s="312"/>
    </row>
    <row r="172" spans="1:27" s="308" customFormat="1" ht="32" customHeight="1" x14ac:dyDescent="0.2">
      <c r="A172" s="287" t="s">
        <v>102</v>
      </c>
      <c r="B172" s="287" t="s">
        <v>523</v>
      </c>
      <c r="C172" s="309" t="s">
        <v>524</v>
      </c>
      <c r="D172" s="290" t="s">
        <v>525</v>
      </c>
      <c r="E172" s="309"/>
      <c r="F172" s="308" t="s">
        <v>459</v>
      </c>
      <c r="I172" s="286" t="b">
        <v>1</v>
      </c>
      <c r="J172" s="310"/>
      <c r="K172" s="310"/>
      <c r="L172" s="310"/>
      <c r="M172" s="310"/>
      <c r="N172" s="310"/>
      <c r="O172" s="310"/>
      <c r="P172" s="310"/>
      <c r="W172" s="311">
        <v>5</v>
      </c>
      <c r="X172" s="142">
        <f>'Additional information'!$E$18</f>
        <v>0.35</v>
      </c>
      <c r="Y172" s="112">
        <f t="shared" si="14"/>
        <v>1.75</v>
      </c>
      <c r="Z172" s="312"/>
    </row>
    <row r="173" spans="1:27" s="308" customFormat="1" ht="32" customHeight="1" x14ac:dyDescent="0.2">
      <c r="A173" s="287" t="s">
        <v>469</v>
      </c>
      <c r="B173" s="287" t="s">
        <v>526</v>
      </c>
      <c r="C173" s="309" t="s">
        <v>527</v>
      </c>
      <c r="D173" s="307" t="s">
        <v>528</v>
      </c>
      <c r="E173" s="309"/>
      <c r="I173" s="286" t="b">
        <v>1</v>
      </c>
      <c r="J173" s="310"/>
      <c r="K173" s="310"/>
      <c r="L173" s="310"/>
      <c r="M173" s="310" t="s">
        <v>529</v>
      </c>
      <c r="N173" s="310"/>
      <c r="O173" s="310"/>
      <c r="P173" s="310"/>
      <c r="W173" s="311">
        <v>17</v>
      </c>
      <c r="X173" s="142">
        <f>'Additional information'!$E$18</f>
        <v>0.35</v>
      </c>
      <c r="Y173" s="112">
        <f t="shared" si="14"/>
        <v>5.9499999999999993</v>
      </c>
      <c r="Z173" s="312"/>
    </row>
    <row r="174" spans="1:27" s="308" customFormat="1" x14ac:dyDescent="0.2">
      <c r="A174" s="287" t="s">
        <v>530</v>
      </c>
      <c r="B174" s="287" t="s">
        <v>531</v>
      </c>
      <c r="C174" s="308" t="s">
        <v>532</v>
      </c>
      <c r="D174" s="281" t="s">
        <v>533</v>
      </c>
      <c r="E174" s="309"/>
      <c r="I174" s="286" t="b">
        <v>1</v>
      </c>
      <c r="J174" s="310"/>
      <c r="K174" s="310"/>
      <c r="L174" s="310"/>
      <c r="M174" s="310"/>
      <c r="N174" s="310"/>
      <c r="O174" s="310"/>
      <c r="P174" s="310"/>
      <c r="W174" s="311">
        <v>10</v>
      </c>
      <c r="X174" s="142">
        <f>'Additional information'!$E$18</f>
        <v>0.35</v>
      </c>
      <c r="Y174" s="112">
        <f t="shared" si="14"/>
        <v>3.5</v>
      </c>
      <c r="Z174" s="312"/>
    </row>
    <row r="175" spans="1:27" s="308" customFormat="1" ht="16.25" customHeight="1" x14ac:dyDescent="0.2">
      <c r="A175" s="287" t="s">
        <v>474</v>
      </c>
      <c r="B175" s="287" t="s">
        <v>534</v>
      </c>
      <c r="C175" s="309" t="s">
        <v>535</v>
      </c>
      <c r="D175" s="290" t="s">
        <v>536</v>
      </c>
      <c r="E175" s="309"/>
      <c r="I175" s="286" t="b">
        <v>1</v>
      </c>
      <c r="J175" s="310"/>
      <c r="K175" s="310"/>
      <c r="L175" s="310"/>
      <c r="M175" s="310"/>
      <c r="N175" s="310"/>
      <c r="O175" s="310"/>
      <c r="P175" s="310"/>
      <c r="W175" s="311">
        <v>10</v>
      </c>
      <c r="X175" s="142">
        <f>'Additional information'!$E$18</f>
        <v>0.35</v>
      </c>
      <c r="Y175" s="112">
        <f t="shared" si="14"/>
        <v>3.5</v>
      </c>
      <c r="Z175" s="312"/>
    </row>
    <row r="176" spans="1:27" s="308" customFormat="1" ht="16" customHeight="1" x14ac:dyDescent="0.2">
      <c r="A176" s="287" t="s">
        <v>478</v>
      </c>
      <c r="B176" s="287" t="s">
        <v>537</v>
      </c>
      <c r="C176" s="309" t="s">
        <v>538</v>
      </c>
      <c r="D176" s="281" t="s">
        <v>539</v>
      </c>
      <c r="E176" s="309"/>
      <c r="I176" s="286" t="b">
        <v>1</v>
      </c>
      <c r="J176" s="310"/>
      <c r="K176" s="310"/>
      <c r="L176" s="310"/>
      <c r="M176" s="310" t="s">
        <v>540</v>
      </c>
      <c r="N176" s="310"/>
      <c r="O176" s="310"/>
      <c r="P176" s="310"/>
      <c r="W176" s="311">
        <v>10</v>
      </c>
      <c r="X176" s="142">
        <f>'Additional information'!$E$18</f>
        <v>0.35</v>
      </c>
      <c r="Y176" s="112">
        <f t="shared" ref="Y176:Y207" si="16">IF(W176&lt;&gt;"",W176*X176,"")</f>
        <v>3.5</v>
      </c>
      <c r="Z176" s="312"/>
    </row>
    <row r="177" spans="1:27" s="308" customFormat="1" ht="16" customHeight="1" x14ac:dyDescent="0.2">
      <c r="A177" s="287" t="s">
        <v>102</v>
      </c>
      <c r="B177" s="287" t="s">
        <v>541</v>
      </c>
      <c r="C177" s="309" t="s">
        <v>484</v>
      </c>
      <c r="D177" s="290" t="s">
        <v>485</v>
      </c>
      <c r="E177" s="309"/>
      <c r="I177" s="286" t="b">
        <v>1</v>
      </c>
      <c r="J177" s="310"/>
      <c r="K177" s="310"/>
      <c r="L177" s="310"/>
      <c r="M177" s="308" t="s">
        <v>542</v>
      </c>
      <c r="N177" s="310"/>
      <c r="O177" s="310"/>
      <c r="P177" s="310"/>
      <c r="W177" s="311">
        <v>5</v>
      </c>
      <c r="X177" s="142">
        <f>'Additional information'!$E$18</f>
        <v>0.35</v>
      </c>
      <c r="Y177" s="112">
        <f t="shared" si="16"/>
        <v>1.75</v>
      </c>
      <c r="Z177" s="312"/>
    </row>
    <row r="178" spans="1:27" s="308" customFormat="1" ht="16.75" customHeight="1" x14ac:dyDescent="0.2">
      <c r="A178" s="287" t="s">
        <v>66</v>
      </c>
      <c r="B178" s="287" t="s">
        <v>543</v>
      </c>
      <c r="C178" s="309" t="s">
        <v>488</v>
      </c>
      <c r="D178" s="281" t="s">
        <v>489</v>
      </c>
      <c r="E178" s="309"/>
      <c r="I178" s="286" t="b">
        <v>1</v>
      </c>
      <c r="J178" s="310"/>
      <c r="K178" s="310"/>
      <c r="L178" s="310"/>
      <c r="M178" s="310" t="s">
        <v>544</v>
      </c>
      <c r="N178" s="310"/>
      <c r="O178" s="310"/>
      <c r="P178" s="310"/>
      <c r="W178" s="311">
        <v>5</v>
      </c>
      <c r="X178" s="142">
        <f>'Additional information'!$E$18</f>
        <v>0.35</v>
      </c>
      <c r="Y178" s="112">
        <f t="shared" si="16"/>
        <v>1.75</v>
      </c>
      <c r="Z178" s="312"/>
    </row>
    <row r="179" spans="1:27" s="308" customFormat="1" ht="16" customHeight="1" x14ac:dyDescent="0.2">
      <c r="A179" s="287" t="s">
        <v>491</v>
      </c>
      <c r="B179" s="287" t="s">
        <v>545</v>
      </c>
      <c r="C179" s="309" t="s">
        <v>546</v>
      </c>
      <c r="D179" s="290" t="s">
        <v>547</v>
      </c>
      <c r="E179" s="309"/>
      <c r="I179" s="286" t="b">
        <v>1</v>
      </c>
      <c r="J179" s="310"/>
      <c r="K179" s="310"/>
      <c r="L179" s="310"/>
      <c r="M179" s="310"/>
      <c r="N179" s="310"/>
      <c r="O179" s="310"/>
      <c r="P179" s="310"/>
      <c r="W179" s="311">
        <v>5</v>
      </c>
      <c r="X179" s="142">
        <f>'Additional information'!$E$18</f>
        <v>0.35</v>
      </c>
      <c r="Y179" s="112">
        <f t="shared" si="16"/>
        <v>1.75</v>
      </c>
      <c r="Z179" s="312"/>
    </row>
    <row r="180" spans="1:27" s="308" customFormat="1" ht="16" customHeight="1" x14ac:dyDescent="0.2">
      <c r="A180" s="287" t="s">
        <v>66</v>
      </c>
      <c r="B180" s="287" t="s">
        <v>548</v>
      </c>
      <c r="C180" s="283" t="s">
        <v>399</v>
      </c>
      <c r="D180" s="307" t="s">
        <v>309</v>
      </c>
      <c r="E180" s="309"/>
      <c r="I180" s="286" t="b">
        <v>1</v>
      </c>
      <c r="J180" s="310"/>
      <c r="K180" s="310"/>
      <c r="L180" s="310"/>
      <c r="M180" s="310" t="s">
        <v>549</v>
      </c>
      <c r="N180" s="310"/>
      <c r="O180" s="310"/>
      <c r="P180" s="310"/>
      <c r="W180" s="311"/>
      <c r="X180" s="142">
        <f>'Additional information'!$E$18</f>
        <v>0.35</v>
      </c>
      <c r="Y180" s="112" t="str">
        <f t="shared" si="16"/>
        <v/>
      </c>
      <c r="Z180" s="312"/>
    </row>
    <row r="181" spans="1:27" s="308" customFormat="1" ht="17" customHeight="1" x14ac:dyDescent="0.2">
      <c r="A181" s="287" t="s">
        <v>497</v>
      </c>
      <c r="B181" s="287" t="s">
        <v>550</v>
      </c>
      <c r="C181" s="309" t="s">
        <v>551</v>
      </c>
      <c r="D181" s="307" t="s">
        <v>552</v>
      </c>
      <c r="E181" s="309"/>
      <c r="F181" s="308" t="s">
        <v>459</v>
      </c>
      <c r="I181" s="286" t="b">
        <v>1</v>
      </c>
      <c r="J181" s="310"/>
      <c r="K181" s="310"/>
      <c r="L181" s="310"/>
      <c r="M181" s="310" t="s">
        <v>553</v>
      </c>
      <c r="N181" s="310"/>
      <c r="O181" s="310"/>
      <c r="P181" s="310"/>
      <c r="W181" s="311">
        <v>5</v>
      </c>
      <c r="X181" s="142">
        <f>'Additional information'!$E$18</f>
        <v>0.35</v>
      </c>
      <c r="Y181" s="112">
        <f t="shared" si="16"/>
        <v>1.75</v>
      </c>
      <c r="Z181" s="312"/>
    </row>
    <row r="182" spans="1:27" s="308" customFormat="1" ht="16" customHeight="1" x14ac:dyDescent="0.2">
      <c r="A182" s="287" t="s">
        <v>66</v>
      </c>
      <c r="B182" s="287" t="s">
        <v>554</v>
      </c>
      <c r="C182" s="308" t="s">
        <v>308</v>
      </c>
      <c r="D182" s="307" t="s">
        <v>309</v>
      </c>
      <c r="E182" s="309"/>
      <c r="I182" s="286" t="b">
        <v>1</v>
      </c>
      <c r="J182" s="310"/>
      <c r="K182" s="310"/>
      <c r="L182" s="310"/>
      <c r="M182" s="310" t="s">
        <v>555</v>
      </c>
      <c r="N182" s="310"/>
      <c r="O182" s="310"/>
      <c r="P182" s="310"/>
      <c r="W182" s="311"/>
      <c r="X182" s="142">
        <f>'Additional information'!$E$18</f>
        <v>0.35</v>
      </c>
      <c r="Y182" s="112" t="str">
        <f t="shared" si="16"/>
        <v/>
      </c>
      <c r="Z182" s="312"/>
    </row>
    <row r="183" spans="1:27" s="308" customFormat="1" ht="16" customHeight="1" x14ac:dyDescent="0.2">
      <c r="A183" s="287" t="s">
        <v>504</v>
      </c>
      <c r="B183" s="287" t="s">
        <v>556</v>
      </c>
      <c r="C183" s="308" t="s">
        <v>557</v>
      </c>
      <c r="D183" s="307" t="s">
        <v>558</v>
      </c>
      <c r="E183" s="309"/>
      <c r="I183" s="286" t="b">
        <v>1</v>
      </c>
      <c r="J183" s="310"/>
      <c r="K183" s="310"/>
      <c r="L183" s="310"/>
      <c r="M183" s="310" t="s">
        <v>559</v>
      </c>
      <c r="N183" s="310"/>
      <c r="O183" s="310"/>
      <c r="P183" s="310"/>
      <c r="W183" s="311">
        <v>5</v>
      </c>
      <c r="X183" s="142">
        <f>'Additional information'!$E$18</f>
        <v>0.35</v>
      </c>
      <c r="Y183" s="112">
        <f t="shared" si="16"/>
        <v>1.75</v>
      </c>
      <c r="Z183" s="312"/>
    </row>
    <row r="184" spans="1:27" s="308" customFormat="1" ht="16" customHeight="1" x14ac:dyDescent="0.2">
      <c r="A184" s="287" t="s">
        <v>66</v>
      </c>
      <c r="B184" s="287" t="s">
        <v>560</v>
      </c>
      <c r="C184" s="308" t="s">
        <v>308</v>
      </c>
      <c r="D184" s="307" t="s">
        <v>309</v>
      </c>
      <c r="E184" s="309"/>
      <c r="I184" s="286" t="b">
        <v>1</v>
      </c>
      <c r="J184" s="310"/>
      <c r="K184" s="310"/>
      <c r="L184" s="310"/>
      <c r="M184" s="310" t="s">
        <v>561</v>
      </c>
      <c r="N184" s="310"/>
      <c r="O184" s="310"/>
      <c r="P184" s="310"/>
      <c r="W184" s="311"/>
      <c r="X184" s="142">
        <f>'Additional information'!$E$18</f>
        <v>0.35</v>
      </c>
      <c r="Y184" s="112" t="str">
        <f t="shared" si="16"/>
        <v/>
      </c>
      <c r="Z184" s="312"/>
    </row>
    <row r="185" spans="1:27" ht="16" customHeight="1" thickBot="1" x14ac:dyDescent="0.25">
      <c r="A185" s="54" t="s">
        <v>118</v>
      </c>
      <c r="B185" s="54"/>
      <c r="C185" s="55"/>
      <c r="D185" s="55"/>
      <c r="E185" s="62"/>
      <c r="F185" s="148"/>
      <c r="G185" s="148"/>
      <c r="H185" s="63"/>
      <c r="I185" s="83"/>
      <c r="J185" s="83"/>
      <c r="K185" s="83"/>
      <c r="L185" s="83"/>
      <c r="M185" s="83"/>
      <c r="N185" s="83"/>
      <c r="O185" s="83"/>
      <c r="P185" s="83"/>
      <c r="W185" s="126"/>
      <c r="Y185" s="112" t="str">
        <f t="shared" si="16"/>
        <v/>
      </c>
      <c r="Z185" s="112" t="str">
        <f>IF(AND(W185&lt;&gt;"",U185="yes"),W185*X185,"")</f>
        <v/>
      </c>
    </row>
    <row r="186" spans="1:27" s="26" customFormat="1" ht="17" customHeight="1" thickTop="1" x14ac:dyDescent="0.2">
      <c r="A186" s="23" t="s">
        <v>61</v>
      </c>
      <c r="B186" s="23" t="s">
        <v>562</v>
      </c>
      <c r="C186" s="47" t="s">
        <v>563</v>
      </c>
      <c r="D186" s="47" t="s">
        <v>564</v>
      </c>
      <c r="E186" s="24"/>
      <c r="F186" s="23"/>
      <c r="G186" s="23"/>
      <c r="H186" s="25"/>
      <c r="I186" s="75" t="s">
        <v>51</v>
      </c>
      <c r="J186" s="75"/>
      <c r="K186" s="75"/>
      <c r="L186" s="75"/>
      <c r="M186" s="75" t="s">
        <v>565</v>
      </c>
      <c r="N186" s="75"/>
      <c r="O186" s="75"/>
      <c r="P186" s="75"/>
      <c r="U186" s="20" t="s">
        <v>42</v>
      </c>
      <c r="W186" s="126"/>
      <c r="X186" s="111"/>
      <c r="Y186" s="112" t="str">
        <f t="shared" si="16"/>
        <v/>
      </c>
      <c r="Z186" s="112" t="str">
        <f>IF(AND(W186&lt;&gt;"",U186="yes"),W186*X186,"")</f>
        <v/>
      </c>
      <c r="AA186" s="27"/>
    </row>
    <row r="187" spans="1:27" ht="32" customHeight="1" x14ac:dyDescent="0.2">
      <c r="A187" s="28" t="s">
        <v>102</v>
      </c>
      <c r="B187" s="28" t="s">
        <v>566</v>
      </c>
      <c r="C187" s="34" t="s">
        <v>567</v>
      </c>
      <c r="D187" s="246" t="s">
        <v>568</v>
      </c>
      <c r="E187" s="41"/>
      <c r="H187" s="42"/>
      <c r="I187" s="72" t="s">
        <v>40</v>
      </c>
      <c r="K187" s="72"/>
      <c r="L187" s="72"/>
      <c r="M187" s="72"/>
      <c r="N187" s="33"/>
      <c r="O187" s="72"/>
      <c r="P187" s="72"/>
      <c r="U187" s="20" t="s">
        <v>42</v>
      </c>
      <c r="W187" s="126">
        <v>13.55</v>
      </c>
      <c r="X187" s="111">
        <f>'Additional information'!$E$18</f>
        <v>0.35</v>
      </c>
      <c r="Y187" s="112">
        <f t="shared" si="16"/>
        <v>4.7424999999999997</v>
      </c>
      <c r="Z187" s="112"/>
    </row>
    <row r="188" spans="1:27" ht="16" customHeight="1" x14ac:dyDescent="0.2">
      <c r="A188" s="28" t="s">
        <v>569</v>
      </c>
      <c r="B188" s="28" t="s">
        <v>570</v>
      </c>
      <c r="C188" s="19" t="s">
        <v>571</v>
      </c>
      <c r="D188" s="246" t="s">
        <v>572</v>
      </c>
      <c r="E188" s="41"/>
      <c r="H188" s="42"/>
      <c r="I188" s="72" t="s">
        <v>40</v>
      </c>
      <c r="J188" s="70" t="s">
        <v>94</v>
      </c>
      <c r="K188" s="72"/>
      <c r="L188" s="72"/>
      <c r="M188" s="72" t="s">
        <v>573</v>
      </c>
      <c r="N188" s="72" t="s">
        <v>450</v>
      </c>
      <c r="O188" s="72"/>
      <c r="P188" s="72"/>
      <c r="U188" s="20" t="s">
        <v>42</v>
      </c>
      <c r="W188" s="126">
        <v>13.55</v>
      </c>
      <c r="X188" s="111">
        <f>'Additional information'!$E$18</f>
        <v>0.35</v>
      </c>
      <c r="Y188" s="112">
        <f t="shared" si="16"/>
        <v>4.7424999999999997</v>
      </c>
      <c r="Z188" s="112"/>
    </row>
    <row r="189" spans="1:27" x14ac:dyDescent="0.2">
      <c r="A189" s="28" t="s">
        <v>26</v>
      </c>
      <c r="B189" s="28" t="s">
        <v>574</v>
      </c>
      <c r="C189" s="19"/>
      <c r="D189" s="19"/>
      <c r="E189" s="41"/>
      <c r="H189" s="42"/>
      <c r="I189" s="72"/>
      <c r="J189" s="72"/>
      <c r="K189" s="72"/>
      <c r="L189" s="72"/>
      <c r="M189" s="72"/>
      <c r="N189" s="72"/>
      <c r="O189" s="72"/>
      <c r="P189" s="72" t="s">
        <v>575</v>
      </c>
      <c r="U189" s="20" t="s">
        <v>42</v>
      </c>
      <c r="W189" s="126"/>
      <c r="X189" s="111">
        <f>'Additional information'!$E$18</f>
        <v>0.35</v>
      </c>
      <c r="Y189" s="112" t="str">
        <f t="shared" si="16"/>
        <v/>
      </c>
      <c r="Z189" s="112"/>
    </row>
    <row r="190" spans="1:27" x14ac:dyDescent="0.2">
      <c r="A190" s="28" t="s">
        <v>26</v>
      </c>
      <c r="B190" s="28" t="s">
        <v>576</v>
      </c>
      <c r="C190" s="19"/>
      <c r="D190" s="19"/>
      <c r="E190" s="41"/>
      <c r="H190" s="42"/>
      <c r="I190" s="72"/>
      <c r="J190" s="72"/>
      <c r="K190" s="72"/>
      <c r="L190" s="72"/>
      <c r="M190" s="72"/>
      <c r="N190" s="72"/>
      <c r="O190" s="72"/>
      <c r="P190" s="72" t="s">
        <v>577</v>
      </c>
      <c r="U190" s="20" t="s">
        <v>42</v>
      </c>
      <c r="W190" s="126"/>
      <c r="X190" s="111">
        <f>'Additional information'!$E$18</f>
        <v>0.35</v>
      </c>
      <c r="Y190" s="112" t="str">
        <f t="shared" si="16"/>
        <v/>
      </c>
      <c r="Z190" s="112"/>
    </row>
    <row r="191" spans="1:27" s="287" customFormat="1" ht="32" customHeight="1" x14ac:dyDescent="0.2">
      <c r="A191" s="287" t="s">
        <v>578</v>
      </c>
      <c r="B191" s="287" t="s">
        <v>579</v>
      </c>
      <c r="C191" s="290" t="s">
        <v>580</v>
      </c>
      <c r="D191" s="289" t="s">
        <v>581</v>
      </c>
      <c r="E191" s="290"/>
      <c r="I191" s="291" t="b">
        <v>1</v>
      </c>
      <c r="J191" s="291"/>
      <c r="K191" s="291"/>
      <c r="L191" s="291"/>
      <c r="M191" s="291" t="s">
        <v>582</v>
      </c>
      <c r="N191" s="291"/>
      <c r="O191" s="291"/>
      <c r="P191" s="291"/>
      <c r="W191" s="141">
        <v>17</v>
      </c>
      <c r="X191" s="142">
        <f>'Additional information'!$E$18</f>
        <v>0.35</v>
      </c>
      <c r="Y191" s="143">
        <f t="shared" si="16"/>
        <v>5.9499999999999993</v>
      </c>
      <c r="Z191" s="143"/>
    </row>
    <row r="192" spans="1:27" ht="32" customHeight="1" x14ac:dyDescent="0.2">
      <c r="A192" s="28" t="s">
        <v>102</v>
      </c>
      <c r="B192" s="28" t="s">
        <v>583</v>
      </c>
      <c r="C192" s="19" t="s">
        <v>584</v>
      </c>
      <c r="D192" s="19" t="s">
        <v>585</v>
      </c>
      <c r="E192" s="41"/>
      <c r="F192" s="52"/>
      <c r="G192" s="52"/>
      <c r="H192" s="58"/>
      <c r="I192" s="70" t="s">
        <v>40</v>
      </c>
      <c r="J192" s="70"/>
      <c r="K192" s="70"/>
      <c r="L192" s="70"/>
      <c r="M192" s="70"/>
      <c r="N192" s="70"/>
      <c r="O192" s="70"/>
      <c r="P192" s="70"/>
      <c r="U192" s="20" t="s">
        <v>42</v>
      </c>
      <c r="W192" s="126">
        <v>12.68148708343506</v>
      </c>
      <c r="X192" s="111">
        <f>'Additional information'!$E$18</f>
        <v>0.35</v>
      </c>
      <c r="Y192" s="112">
        <f t="shared" si="16"/>
        <v>4.4385204792022712</v>
      </c>
      <c r="Z192" s="112">
        <f t="shared" ref="Z192:Z223" si="17">IF(AND(W192&lt;&gt;"",U192="yes"),W192*X192,"")</f>
        <v>4.4385204792022712</v>
      </c>
    </row>
    <row r="193" spans="1:27" ht="32" customHeight="1" x14ac:dyDescent="0.2">
      <c r="A193" s="28" t="s">
        <v>586</v>
      </c>
      <c r="B193" s="28" t="s">
        <v>587</v>
      </c>
      <c r="C193" s="34" t="s">
        <v>588</v>
      </c>
      <c r="D193" s="19" t="s">
        <v>589</v>
      </c>
      <c r="E193" s="51"/>
      <c r="F193" s="20" t="s">
        <v>435</v>
      </c>
      <c r="G193" s="20" t="s">
        <v>590</v>
      </c>
      <c r="H193" s="42"/>
      <c r="I193" s="70" t="s">
        <v>40</v>
      </c>
      <c r="J193" s="70"/>
      <c r="K193" s="72" t="s">
        <v>591</v>
      </c>
      <c r="L193" s="70"/>
      <c r="M193" s="72" t="s">
        <v>592</v>
      </c>
      <c r="N193" s="70"/>
      <c r="O193" s="70"/>
      <c r="P193" s="70"/>
      <c r="U193" s="20" t="s">
        <v>42</v>
      </c>
      <c r="W193" s="126">
        <v>22.61360931396484</v>
      </c>
      <c r="X193" s="111">
        <f>'Additional information'!$E$18</f>
        <v>0.35</v>
      </c>
      <c r="Y193" s="112">
        <f t="shared" si="16"/>
        <v>7.9147632598876934</v>
      </c>
      <c r="Z193" s="112">
        <f t="shared" si="17"/>
        <v>7.9147632598876934</v>
      </c>
    </row>
    <row r="194" spans="1:27" x14ac:dyDescent="0.2">
      <c r="E194" s="41"/>
      <c r="H194" s="42"/>
      <c r="M194" s="82"/>
      <c r="W194" s="126"/>
      <c r="X194" s="111">
        <f>'Additional information'!$E$18</f>
        <v>0.35</v>
      </c>
      <c r="Y194" s="112" t="str">
        <f t="shared" si="16"/>
        <v/>
      </c>
      <c r="Z194" s="112" t="str">
        <f t="shared" si="17"/>
        <v/>
      </c>
    </row>
    <row r="195" spans="1:27" ht="48" customHeight="1" x14ac:dyDescent="0.2">
      <c r="A195" s="28" t="s">
        <v>223</v>
      </c>
      <c r="B195" s="28" t="s">
        <v>593</v>
      </c>
      <c r="C195" s="34" t="s">
        <v>594</v>
      </c>
      <c r="D195" s="19" t="s">
        <v>595</v>
      </c>
      <c r="E195" s="51"/>
      <c r="F195" s="59" t="s">
        <v>596</v>
      </c>
      <c r="G195" s="59" t="s">
        <v>597</v>
      </c>
      <c r="H195" s="58"/>
      <c r="I195" s="70" t="s">
        <v>40</v>
      </c>
      <c r="J195" s="70"/>
      <c r="K195" s="70"/>
      <c r="L195" s="70"/>
      <c r="M195" s="72"/>
      <c r="N195" s="70"/>
      <c r="O195" s="70"/>
      <c r="P195" s="70"/>
      <c r="U195" s="20" t="s">
        <v>42</v>
      </c>
      <c r="W195" s="126">
        <v>21.701908111572269</v>
      </c>
      <c r="X195" s="111">
        <f>'Additional information'!$E$18</f>
        <v>0.35</v>
      </c>
      <c r="Y195" s="112">
        <f t="shared" si="16"/>
        <v>7.5956678390502939</v>
      </c>
      <c r="Z195" s="112">
        <f t="shared" si="17"/>
        <v>7.5956678390502939</v>
      </c>
    </row>
    <row r="196" spans="1:27" x14ac:dyDescent="0.2">
      <c r="C196" s="22"/>
      <c r="D196" s="22"/>
      <c r="E196" s="51"/>
      <c r="F196" s="52"/>
      <c r="G196" s="52"/>
      <c r="H196" s="58"/>
      <c r="M196" s="82"/>
      <c r="W196" s="126"/>
      <c r="X196" s="111">
        <f>'Additional information'!$E$18</f>
        <v>0.35</v>
      </c>
      <c r="Y196" s="112" t="str">
        <f t="shared" si="16"/>
        <v/>
      </c>
      <c r="Z196" s="112" t="str">
        <f t="shared" si="17"/>
        <v/>
      </c>
    </row>
    <row r="197" spans="1:27" ht="16" customHeight="1" thickBot="1" x14ac:dyDescent="0.25">
      <c r="A197" s="54" t="s">
        <v>118</v>
      </c>
      <c r="B197" s="54"/>
      <c r="C197" s="55"/>
      <c r="D197" s="55"/>
      <c r="E197" s="62"/>
      <c r="F197" s="54"/>
      <c r="G197" s="54"/>
      <c r="H197" s="63"/>
      <c r="I197" s="83"/>
      <c r="J197" s="83"/>
      <c r="K197" s="83"/>
      <c r="L197" s="83"/>
      <c r="M197" s="83"/>
      <c r="N197" s="83"/>
      <c r="O197" s="83"/>
      <c r="P197" s="83"/>
      <c r="W197" s="126"/>
      <c r="Y197" s="112" t="str">
        <f t="shared" si="16"/>
        <v/>
      </c>
      <c r="Z197" s="112" t="str">
        <f t="shared" si="17"/>
        <v/>
      </c>
    </row>
    <row r="198" spans="1:27" s="26" customFormat="1" ht="16" customHeight="1" x14ac:dyDescent="0.2">
      <c r="A198" s="23" t="s">
        <v>61</v>
      </c>
      <c r="B198" s="23" t="s">
        <v>598</v>
      </c>
      <c r="C198" s="47" t="s">
        <v>599</v>
      </c>
      <c r="D198" s="47" t="s">
        <v>600</v>
      </c>
      <c r="E198" s="24"/>
      <c r="F198" s="23"/>
      <c r="G198" s="23"/>
      <c r="H198" s="25"/>
      <c r="I198" s="75" t="s">
        <v>51</v>
      </c>
      <c r="J198" s="75"/>
      <c r="K198" s="75"/>
      <c r="L198" s="75"/>
      <c r="M198" s="75" t="s">
        <v>601</v>
      </c>
      <c r="N198" s="75"/>
      <c r="O198" s="75"/>
      <c r="P198" s="75"/>
      <c r="U198" s="20" t="s">
        <v>42</v>
      </c>
      <c r="W198" s="126"/>
      <c r="X198" s="27"/>
      <c r="Y198" s="112" t="str">
        <f t="shared" si="16"/>
        <v/>
      </c>
      <c r="Z198" s="112" t="str">
        <f t="shared" si="17"/>
        <v/>
      </c>
      <c r="AA198" s="27"/>
    </row>
    <row r="199" spans="1:27" ht="48" customHeight="1" x14ac:dyDescent="0.2">
      <c r="A199" s="28" t="s">
        <v>45</v>
      </c>
      <c r="B199" s="28" t="s">
        <v>602</v>
      </c>
      <c r="C199" s="19" t="s">
        <v>603</v>
      </c>
      <c r="D199" s="19" t="s">
        <v>604</v>
      </c>
      <c r="E199" s="41"/>
      <c r="F199" s="28"/>
      <c r="G199" s="28"/>
      <c r="H199" s="42"/>
      <c r="I199" s="70"/>
      <c r="J199" s="70"/>
      <c r="K199" s="70"/>
      <c r="L199" s="70"/>
      <c r="M199" s="70"/>
      <c r="N199" s="70"/>
      <c r="O199" s="70"/>
      <c r="P199" s="70"/>
      <c r="U199" s="20" t="s">
        <v>42</v>
      </c>
      <c r="W199" s="126">
        <v>7.5</v>
      </c>
      <c r="X199" s="60">
        <f>'Additional information'!$E$19</f>
        <v>0.08</v>
      </c>
      <c r="Y199" s="112">
        <f t="shared" si="16"/>
        <v>0.6</v>
      </c>
      <c r="Z199" s="112">
        <f t="shared" si="17"/>
        <v>0.6</v>
      </c>
    </row>
    <row r="200" spans="1:27" s="26" customFormat="1" x14ac:dyDescent="0.2">
      <c r="C200" s="48"/>
      <c r="D200" s="21"/>
      <c r="E200" s="24"/>
      <c r="H200" s="25"/>
      <c r="I200" s="76"/>
      <c r="J200" s="76"/>
      <c r="K200" s="76"/>
      <c r="L200" s="76"/>
      <c r="M200" s="76"/>
      <c r="N200" s="76"/>
      <c r="O200" s="76"/>
      <c r="P200" s="76"/>
      <c r="U200" s="20"/>
      <c r="W200" s="126"/>
      <c r="X200" s="60">
        <f>'Additional information'!$E$19</f>
        <v>0.08</v>
      </c>
      <c r="Y200" s="112" t="str">
        <f t="shared" si="16"/>
        <v/>
      </c>
      <c r="Z200" s="112" t="str">
        <f t="shared" si="17"/>
        <v/>
      </c>
      <c r="AA200" s="27"/>
    </row>
    <row r="201" spans="1:27" ht="32" customHeight="1" x14ac:dyDescent="0.2">
      <c r="A201" s="28" t="s">
        <v>605</v>
      </c>
      <c r="B201" s="28" t="s">
        <v>606</v>
      </c>
      <c r="C201" s="19" t="s">
        <v>607</v>
      </c>
      <c r="D201" s="19" t="s">
        <v>608</v>
      </c>
      <c r="E201" s="41"/>
      <c r="F201" s="20" t="s">
        <v>609</v>
      </c>
      <c r="G201" s="20" t="s">
        <v>610</v>
      </c>
      <c r="H201" s="42"/>
      <c r="I201" s="70" t="s">
        <v>40</v>
      </c>
      <c r="J201" s="70" t="s">
        <v>185</v>
      </c>
      <c r="K201" s="70"/>
      <c r="L201" s="70"/>
      <c r="M201" s="70"/>
      <c r="N201" s="70"/>
      <c r="O201" s="70"/>
      <c r="P201" s="70"/>
      <c r="U201" s="20" t="s">
        <v>42</v>
      </c>
      <c r="W201" s="126">
        <v>20.2944221496582</v>
      </c>
      <c r="X201" s="60">
        <f>'Additional information'!$E$19</f>
        <v>0.08</v>
      </c>
      <c r="Y201" s="112">
        <f t="shared" si="16"/>
        <v>1.623553771972656</v>
      </c>
      <c r="Z201" s="112">
        <f t="shared" si="17"/>
        <v>1.623553771972656</v>
      </c>
    </row>
    <row r="202" spans="1:27" x14ac:dyDescent="0.2">
      <c r="A202" s="28" t="s">
        <v>26</v>
      </c>
      <c r="B202" s="28" t="s">
        <v>611</v>
      </c>
      <c r="C202" s="19"/>
      <c r="D202" s="19"/>
      <c r="E202" s="41"/>
      <c r="H202" s="42"/>
      <c r="I202" s="70"/>
      <c r="J202" s="70"/>
      <c r="K202" s="70"/>
      <c r="L202" s="70"/>
      <c r="M202" s="70"/>
      <c r="N202" s="70"/>
      <c r="O202" s="70"/>
      <c r="P202" s="70" t="s">
        <v>612</v>
      </c>
      <c r="U202" s="20" t="s">
        <v>42</v>
      </c>
      <c r="W202" s="126"/>
      <c r="X202" s="60">
        <f>'Additional information'!$E$19</f>
        <v>0.08</v>
      </c>
      <c r="Y202" s="112" t="str">
        <f t="shared" si="16"/>
        <v/>
      </c>
      <c r="Z202" s="112" t="str">
        <f t="shared" si="17"/>
        <v/>
      </c>
    </row>
    <row r="203" spans="1:27" x14ac:dyDescent="0.2">
      <c r="E203" s="41"/>
      <c r="H203" s="42"/>
      <c r="M203" s="82"/>
      <c r="W203" s="126"/>
      <c r="X203" s="60">
        <f>'Additional information'!$E$19</f>
        <v>0.08</v>
      </c>
      <c r="Y203" s="112" t="str">
        <f t="shared" si="16"/>
        <v/>
      </c>
      <c r="Z203" s="112" t="str">
        <f t="shared" si="17"/>
        <v/>
      </c>
    </row>
    <row r="204" spans="1:27" ht="16" customHeight="1" x14ac:dyDescent="0.2">
      <c r="A204" s="28" t="s">
        <v>77</v>
      </c>
      <c r="B204" s="28" t="s">
        <v>613</v>
      </c>
      <c r="C204" s="19" t="s">
        <v>614</v>
      </c>
      <c r="D204" s="19" t="s">
        <v>615</v>
      </c>
      <c r="E204" s="41"/>
      <c r="F204" s="28" t="s">
        <v>616</v>
      </c>
      <c r="G204" s="28" t="s">
        <v>617</v>
      </c>
      <c r="H204" s="42"/>
      <c r="I204" s="70" t="s">
        <v>40</v>
      </c>
      <c r="J204" s="70"/>
      <c r="K204" s="70" t="s">
        <v>618</v>
      </c>
      <c r="L204" s="70"/>
      <c r="M204" s="70" t="s">
        <v>619</v>
      </c>
      <c r="N204" s="70"/>
      <c r="O204" s="70"/>
      <c r="P204" s="70"/>
      <c r="U204" s="20" t="s">
        <v>42</v>
      </c>
      <c r="W204" s="126">
        <v>18.539077758789059</v>
      </c>
      <c r="X204" s="60">
        <f>'Additional information'!$E$19</f>
        <v>0.08</v>
      </c>
      <c r="Y204" s="112">
        <f t="shared" si="16"/>
        <v>1.4831262207031248</v>
      </c>
      <c r="Z204" s="112">
        <f t="shared" si="17"/>
        <v>1.4831262207031248</v>
      </c>
    </row>
    <row r="205" spans="1:27" ht="16" customHeight="1" x14ac:dyDescent="0.2">
      <c r="A205" s="28" t="s">
        <v>77</v>
      </c>
      <c r="B205" s="28" t="s">
        <v>620</v>
      </c>
      <c r="C205" s="19" t="s">
        <v>621</v>
      </c>
      <c r="D205" s="19" t="s">
        <v>622</v>
      </c>
      <c r="E205" s="41"/>
      <c r="F205" s="28" t="s">
        <v>616</v>
      </c>
      <c r="G205" s="28" t="s">
        <v>617</v>
      </c>
      <c r="H205" s="42"/>
      <c r="I205" s="70" t="s">
        <v>40</v>
      </c>
      <c r="J205" s="70"/>
      <c r="K205" s="70" t="s">
        <v>618</v>
      </c>
      <c r="L205" s="70"/>
      <c r="M205" s="70" t="s">
        <v>619</v>
      </c>
      <c r="N205" s="70"/>
      <c r="O205" s="70"/>
      <c r="P205" s="70"/>
      <c r="U205" s="20" t="s">
        <v>42</v>
      </c>
      <c r="W205" s="126">
        <v>8.9158916473388672</v>
      </c>
      <c r="X205" s="60">
        <f>'Additional information'!$E$19</f>
        <v>0.08</v>
      </c>
      <c r="Y205" s="112">
        <f t="shared" si="16"/>
        <v>0.71327133178710944</v>
      </c>
      <c r="Z205" s="112">
        <f t="shared" si="17"/>
        <v>0.71327133178710944</v>
      </c>
    </row>
    <row r="206" spans="1:27" ht="16" customHeight="1" x14ac:dyDescent="0.2">
      <c r="A206" s="28" t="s">
        <v>26</v>
      </c>
      <c r="B206" s="28" t="s">
        <v>623</v>
      </c>
      <c r="C206" s="19" t="s">
        <v>624</v>
      </c>
      <c r="D206" s="19" t="s">
        <v>625</v>
      </c>
      <c r="E206" s="41"/>
      <c r="F206" s="28"/>
      <c r="G206" s="28"/>
      <c r="H206" s="42"/>
      <c r="I206" s="70" t="s">
        <v>40</v>
      </c>
      <c r="J206" s="70"/>
      <c r="K206" s="70"/>
      <c r="L206" s="70"/>
      <c r="M206" s="70" t="s">
        <v>626</v>
      </c>
      <c r="N206" s="70"/>
      <c r="O206" s="70"/>
      <c r="P206" s="70" t="s">
        <v>627</v>
      </c>
      <c r="U206" s="20" t="s">
        <v>42</v>
      </c>
      <c r="W206" s="126"/>
      <c r="X206" s="60">
        <f>'Additional information'!$E$19</f>
        <v>0.08</v>
      </c>
      <c r="Y206" s="112" t="str">
        <f t="shared" si="16"/>
        <v/>
      </c>
      <c r="Z206" s="112" t="str">
        <f t="shared" si="17"/>
        <v/>
      </c>
    </row>
    <row r="207" spans="1:27" x14ac:dyDescent="0.2">
      <c r="E207" s="41"/>
      <c r="H207" s="42"/>
      <c r="W207" s="126"/>
      <c r="X207" s="60">
        <f>'Additional information'!$E$19</f>
        <v>0.08</v>
      </c>
      <c r="Y207" s="112" t="str">
        <f t="shared" si="16"/>
        <v/>
      </c>
      <c r="Z207" s="112" t="str">
        <f t="shared" si="17"/>
        <v/>
      </c>
    </row>
    <row r="208" spans="1:27" ht="16" customHeight="1" x14ac:dyDescent="0.2">
      <c r="A208" s="28" t="s">
        <v>628</v>
      </c>
      <c r="B208" s="28" t="s">
        <v>629</v>
      </c>
      <c r="C208" s="19" t="s">
        <v>630</v>
      </c>
      <c r="D208" s="19" t="s">
        <v>631</v>
      </c>
      <c r="E208" s="41"/>
      <c r="F208" s="20" t="s">
        <v>388</v>
      </c>
      <c r="G208" s="20" t="s">
        <v>389</v>
      </c>
      <c r="H208" s="42"/>
      <c r="I208" s="70" t="s">
        <v>40</v>
      </c>
      <c r="J208" s="70"/>
      <c r="K208" s="70" t="s">
        <v>632</v>
      </c>
      <c r="L208" s="70"/>
      <c r="M208" s="70" t="s">
        <v>619</v>
      </c>
      <c r="N208" s="70"/>
      <c r="O208" s="70"/>
      <c r="P208" s="70"/>
      <c r="U208" s="20" t="s">
        <v>42</v>
      </c>
      <c r="W208" s="126">
        <v>25.81001091003418</v>
      </c>
      <c r="X208" s="60">
        <f>'Additional information'!$E$19</f>
        <v>0.08</v>
      </c>
      <c r="Y208" s="112">
        <f t="shared" ref="Y208:Y239" si="18">IF(W208&lt;&gt;"",W208*X208,"")</f>
        <v>2.0648008728027345</v>
      </c>
      <c r="Z208" s="112">
        <f t="shared" si="17"/>
        <v>2.0648008728027345</v>
      </c>
    </row>
    <row r="209" spans="1:27" x14ac:dyDescent="0.2">
      <c r="E209" s="41"/>
      <c r="H209" s="42"/>
      <c r="M209" s="82"/>
      <c r="W209" s="126"/>
      <c r="X209" s="60">
        <f>'Additional information'!$E$19</f>
        <v>0.08</v>
      </c>
      <c r="Y209" s="112" t="str">
        <f t="shared" si="18"/>
        <v/>
      </c>
      <c r="Z209" s="112" t="str">
        <f t="shared" si="17"/>
        <v/>
      </c>
    </row>
    <row r="210" spans="1:27" s="30" customFormat="1" ht="16" customHeight="1" x14ac:dyDescent="0.2">
      <c r="A210" s="30" t="s">
        <v>633</v>
      </c>
      <c r="B210" s="30" t="s">
        <v>634</v>
      </c>
      <c r="C210" s="31" t="s">
        <v>635</v>
      </c>
      <c r="D210" s="31" t="s">
        <v>636</v>
      </c>
      <c r="E210" s="32"/>
      <c r="F210" s="30" t="s">
        <v>388</v>
      </c>
      <c r="G210" s="30" t="s">
        <v>389</v>
      </c>
      <c r="H210" s="36"/>
      <c r="I210" s="71" t="s">
        <v>40</v>
      </c>
      <c r="J210" s="71"/>
      <c r="K210" s="71" t="s">
        <v>591</v>
      </c>
      <c r="L210" s="71"/>
      <c r="M210" s="71"/>
      <c r="N210" s="71"/>
      <c r="O210" s="71"/>
      <c r="P210" s="71"/>
      <c r="U210" s="30" t="s">
        <v>52</v>
      </c>
      <c r="W210" s="126">
        <v>19.55319786071777</v>
      </c>
      <c r="X210" s="60">
        <f>'Additional information'!$E$19</f>
        <v>0.08</v>
      </c>
      <c r="Y210" s="112">
        <f t="shared" si="18"/>
        <v>1.5642558288574215</v>
      </c>
      <c r="Z210" s="112" t="str">
        <f t="shared" si="17"/>
        <v/>
      </c>
      <c r="AA210" s="29"/>
    </row>
    <row r="211" spans="1:27" s="30" customFormat="1" x14ac:dyDescent="0.2">
      <c r="C211" s="31"/>
      <c r="D211" s="261"/>
      <c r="E211" s="32"/>
      <c r="H211" s="36"/>
      <c r="I211" s="71"/>
      <c r="J211" s="71"/>
      <c r="K211" s="71"/>
      <c r="L211" s="71"/>
      <c r="M211" s="71"/>
      <c r="N211" s="71"/>
      <c r="O211" s="71"/>
      <c r="P211" s="71"/>
      <c r="W211" s="126"/>
      <c r="X211" s="60">
        <f>'Additional information'!$E$19</f>
        <v>0.08</v>
      </c>
      <c r="Y211" s="112" t="str">
        <f t="shared" si="18"/>
        <v/>
      </c>
      <c r="Z211" s="112" t="str">
        <f t="shared" si="17"/>
        <v/>
      </c>
      <c r="AA211" s="29"/>
    </row>
    <row r="212" spans="1:27" ht="32" customHeight="1" x14ac:dyDescent="0.2">
      <c r="A212" s="28" t="s">
        <v>102</v>
      </c>
      <c r="B212" s="28" t="s">
        <v>637</v>
      </c>
      <c r="C212" s="19" t="s">
        <v>638</v>
      </c>
      <c r="D212" s="19" t="s">
        <v>639</v>
      </c>
      <c r="E212" s="41"/>
      <c r="H212" s="42"/>
      <c r="I212" s="70" t="s">
        <v>40</v>
      </c>
      <c r="J212" s="70"/>
      <c r="K212" s="70"/>
      <c r="L212" s="70"/>
      <c r="M212" s="72"/>
      <c r="N212" s="70"/>
      <c r="O212" s="70"/>
      <c r="P212" s="70"/>
      <c r="U212" s="20" t="s">
        <v>42</v>
      </c>
      <c r="W212" s="126">
        <v>13.613316535949711</v>
      </c>
      <c r="X212" s="60">
        <f>'Additional information'!$E$19</f>
        <v>0.08</v>
      </c>
      <c r="Y212" s="112">
        <f t="shared" si="18"/>
        <v>1.0890653228759768</v>
      </c>
      <c r="Z212" s="112">
        <f t="shared" si="17"/>
        <v>1.0890653228759768</v>
      </c>
    </row>
    <row r="213" spans="1:27" ht="32" customHeight="1" x14ac:dyDescent="0.2">
      <c r="A213" s="28" t="s">
        <v>640</v>
      </c>
      <c r="B213" s="28" t="s">
        <v>641</v>
      </c>
      <c r="C213" s="19" t="s">
        <v>642</v>
      </c>
      <c r="D213" s="19" t="s">
        <v>643</v>
      </c>
      <c r="E213" s="41"/>
      <c r="F213" s="20" t="s">
        <v>435</v>
      </c>
      <c r="G213" s="20" t="s">
        <v>590</v>
      </c>
      <c r="H213" s="42"/>
      <c r="I213" s="70" t="s">
        <v>40</v>
      </c>
      <c r="J213" s="70"/>
      <c r="K213" s="72" t="s">
        <v>591</v>
      </c>
      <c r="L213" s="70"/>
      <c r="M213" s="72" t="s">
        <v>644</v>
      </c>
      <c r="N213" s="70"/>
      <c r="O213" s="70"/>
      <c r="P213" s="70"/>
      <c r="U213" s="20" t="s">
        <v>42</v>
      </c>
      <c r="W213" s="126">
        <v>27.754648208618161</v>
      </c>
      <c r="X213" s="60">
        <f>'Additional information'!$E$19</f>
        <v>0.08</v>
      </c>
      <c r="Y213" s="112">
        <f t="shared" si="18"/>
        <v>2.2203718566894528</v>
      </c>
      <c r="Z213" s="112">
        <f t="shared" si="17"/>
        <v>2.2203718566894528</v>
      </c>
    </row>
    <row r="214" spans="1:27" x14ac:dyDescent="0.2">
      <c r="E214" s="41"/>
      <c r="H214" s="42"/>
      <c r="M214" s="82"/>
      <c r="W214" s="126"/>
      <c r="X214" s="60">
        <f>'Additional information'!$E$19</f>
        <v>0.08</v>
      </c>
      <c r="Y214" s="112" t="str">
        <f t="shared" si="18"/>
        <v/>
      </c>
      <c r="Z214" s="112" t="str">
        <f t="shared" si="17"/>
        <v/>
      </c>
    </row>
    <row r="215" spans="1:27" s="30" customFormat="1" ht="32" customHeight="1" x14ac:dyDescent="0.2">
      <c r="A215" s="30" t="s">
        <v>645</v>
      </c>
      <c r="B215" s="30" t="s">
        <v>646</v>
      </c>
      <c r="C215" s="31" t="s">
        <v>647</v>
      </c>
      <c r="D215" s="31" t="s">
        <v>648</v>
      </c>
      <c r="E215" s="32"/>
      <c r="F215" s="30" t="s">
        <v>649</v>
      </c>
      <c r="G215" s="30" t="s">
        <v>650</v>
      </c>
      <c r="H215" s="36"/>
      <c r="I215" s="71" t="s">
        <v>40</v>
      </c>
      <c r="J215" s="71" t="s">
        <v>185</v>
      </c>
      <c r="K215" s="71" t="s">
        <v>651</v>
      </c>
      <c r="L215" s="71"/>
      <c r="M215" s="71" t="s">
        <v>652</v>
      </c>
      <c r="N215" s="71" t="s">
        <v>653</v>
      </c>
      <c r="O215" s="77"/>
      <c r="P215" s="77"/>
      <c r="Q215" s="20"/>
      <c r="U215" s="30" t="s">
        <v>52</v>
      </c>
      <c r="W215" s="126">
        <v>17</v>
      </c>
      <c r="X215" s="60">
        <f>'Additional information'!$E$19</f>
        <v>0.08</v>
      </c>
      <c r="Y215" s="112">
        <f t="shared" si="18"/>
        <v>1.36</v>
      </c>
      <c r="Z215" s="112" t="str">
        <f t="shared" si="17"/>
        <v/>
      </c>
      <c r="AA215" s="29"/>
    </row>
    <row r="216" spans="1:27" x14ac:dyDescent="0.2">
      <c r="E216" s="41"/>
      <c r="H216" s="42"/>
      <c r="M216" s="82"/>
      <c r="W216" s="126"/>
      <c r="X216" s="60">
        <f>'Additional information'!$E$19</f>
        <v>0.08</v>
      </c>
      <c r="Y216" s="112" t="str">
        <f t="shared" si="18"/>
        <v/>
      </c>
      <c r="Z216" s="112" t="str">
        <f t="shared" si="17"/>
        <v/>
      </c>
    </row>
    <row r="217" spans="1:27" ht="16" customHeight="1" thickBot="1" x14ac:dyDescent="0.25">
      <c r="A217" s="54" t="s">
        <v>118</v>
      </c>
      <c r="B217" s="54"/>
      <c r="C217" s="55"/>
      <c r="D217" s="55"/>
      <c r="E217" s="62"/>
      <c r="F217" s="54"/>
      <c r="G217" s="54"/>
      <c r="H217" s="63"/>
      <c r="I217" s="83"/>
      <c r="J217" s="83"/>
      <c r="K217" s="83"/>
      <c r="L217" s="83"/>
      <c r="M217" s="83"/>
      <c r="N217" s="83"/>
      <c r="O217" s="83"/>
      <c r="P217" s="83"/>
      <c r="W217" s="126"/>
      <c r="Y217" s="112" t="str">
        <f t="shared" si="18"/>
        <v/>
      </c>
      <c r="Z217" s="112" t="str">
        <f t="shared" si="17"/>
        <v/>
      </c>
    </row>
    <row r="218" spans="1:27" s="26" customFormat="1" ht="17" customHeight="1" thickTop="1" x14ac:dyDescent="0.2">
      <c r="A218" s="23" t="s">
        <v>61</v>
      </c>
      <c r="B218" s="23" t="s">
        <v>654</v>
      </c>
      <c r="C218" s="47" t="s">
        <v>655</v>
      </c>
      <c r="D218" s="47" t="s">
        <v>656</v>
      </c>
      <c r="E218" s="24"/>
      <c r="F218" s="23"/>
      <c r="G218" s="23"/>
      <c r="H218" s="25"/>
      <c r="I218" s="75" t="s">
        <v>51</v>
      </c>
      <c r="J218" s="75"/>
      <c r="K218" s="75"/>
      <c r="L218" s="75"/>
      <c r="M218" s="75" t="s">
        <v>657</v>
      </c>
      <c r="N218" s="75"/>
      <c r="O218" s="75"/>
      <c r="P218" s="75"/>
      <c r="U218" s="20" t="s">
        <v>42</v>
      </c>
      <c r="W218" s="126"/>
      <c r="X218" s="111"/>
      <c r="Y218" s="112" t="str">
        <f t="shared" si="18"/>
        <v/>
      </c>
      <c r="Z218" s="112" t="str">
        <f t="shared" si="17"/>
        <v/>
      </c>
      <c r="AA218" s="27"/>
    </row>
    <row r="219" spans="1:27" s="26" customFormat="1" x14ac:dyDescent="0.2">
      <c r="C219" s="48"/>
      <c r="D219" s="48"/>
      <c r="E219" s="24"/>
      <c r="H219" s="25"/>
      <c r="I219" s="76"/>
      <c r="J219" s="76"/>
      <c r="K219" s="76"/>
      <c r="L219" s="76"/>
      <c r="M219" s="76"/>
      <c r="N219" s="76"/>
      <c r="O219" s="76"/>
      <c r="P219" s="76"/>
      <c r="U219" s="20"/>
      <c r="W219" s="126"/>
      <c r="X219" s="60">
        <f>'Additional information'!$E$19</f>
        <v>0.08</v>
      </c>
      <c r="Y219" s="112" t="str">
        <f t="shared" si="18"/>
        <v/>
      </c>
      <c r="Z219" s="112" t="str">
        <f t="shared" si="17"/>
        <v/>
      </c>
      <c r="AA219" s="27"/>
    </row>
    <row r="220" spans="1:27" s="26" customFormat="1" ht="32" customHeight="1" x14ac:dyDescent="0.2">
      <c r="A220" s="28" t="s">
        <v>658</v>
      </c>
      <c r="B220" s="28" t="s">
        <v>659</v>
      </c>
      <c r="C220" s="19" t="s">
        <v>660</v>
      </c>
      <c r="D220" s="294" t="s">
        <v>661</v>
      </c>
      <c r="E220" s="41"/>
      <c r="F220" s="59"/>
      <c r="G220" s="59"/>
      <c r="H220" s="42"/>
      <c r="I220" s="70" t="s">
        <v>40</v>
      </c>
      <c r="J220" s="70" t="s">
        <v>185</v>
      </c>
      <c r="K220" s="75"/>
      <c r="L220" s="75"/>
      <c r="M220" s="75"/>
      <c r="N220" s="75"/>
      <c r="O220" s="75"/>
      <c r="P220" s="75"/>
      <c r="U220" s="20" t="s">
        <v>42</v>
      </c>
      <c r="W220" s="126">
        <v>13.99939060211182</v>
      </c>
      <c r="X220" s="60">
        <f>'Additional information'!$E$19</f>
        <v>0.08</v>
      </c>
      <c r="Y220" s="112">
        <f t="shared" si="18"/>
        <v>1.1199512481689455</v>
      </c>
      <c r="Z220" s="112">
        <f t="shared" si="17"/>
        <v>1.1199512481689455</v>
      </c>
      <c r="AA220" s="27"/>
    </row>
    <row r="221" spans="1:27" x14ac:dyDescent="0.2">
      <c r="A221" s="28" t="s">
        <v>26</v>
      </c>
      <c r="B221" s="28" t="s">
        <v>662</v>
      </c>
      <c r="C221" s="19"/>
      <c r="D221" s="19"/>
      <c r="E221" s="41"/>
      <c r="H221" s="42"/>
      <c r="I221" s="70"/>
      <c r="J221" s="70"/>
      <c r="K221" s="70"/>
      <c r="L221" s="70"/>
      <c r="M221" s="70"/>
      <c r="N221" s="70"/>
      <c r="O221" s="70"/>
      <c r="P221" s="70" t="s">
        <v>663</v>
      </c>
      <c r="U221" s="20" t="s">
        <v>42</v>
      </c>
      <c r="W221" s="126"/>
      <c r="X221" s="60">
        <f>'Additional information'!$E$19</f>
        <v>0.08</v>
      </c>
      <c r="Y221" s="112" t="str">
        <f t="shared" si="18"/>
        <v/>
      </c>
      <c r="Z221" s="112" t="str">
        <f t="shared" si="17"/>
        <v/>
      </c>
    </row>
    <row r="222" spans="1:27" ht="32" customHeight="1" x14ac:dyDescent="0.2">
      <c r="A222" s="28" t="s">
        <v>102</v>
      </c>
      <c r="B222" s="28" t="s">
        <v>664</v>
      </c>
      <c r="C222" s="19" t="s">
        <v>665</v>
      </c>
      <c r="D222" s="19" t="s">
        <v>666</v>
      </c>
      <c r="E222" s="41"/>
      <c r="H222" s="42"/>
      <c r="I222" s="70" t="s">
        <v>40</v>
      </c>
      <c r="J222" s="70"/>
      <c r="K222" s="70"/>
      <c r="L222" s="70"/>
      <c r="M222" s="70"/>
      <c r="N222" s="70"/>
      <c r="O222" s="70"/>
      <c r="P222" s="70"/>
      <c r="U222" s="20" t="s">
        <v>42</v>
      </c>
      <c r="W222" s="126">
        <v>10.25279426574707</v>
      </c>
      <c r="X222" s="60">
        <f>'Additional information'!$E$19</f>
        <v>0.08</v>
      </c>
      <c r="Y222" s="112">
        <f t="shared" si="18"/>
        <v>0.8202235412597656</v>
      </c>
      <c r="Z222" s="112">
        <f t="shared" si="17"/>
        <v>0.8202235412597656</v>
      </c>
    </row>
    <row r="223" spans="1:27" ht="32" customHeight="1" x14ac:dyDescent="0.2">
      <c r="A223" s="28" t="s">
        <v>667</v>
      </c>
      <c r="B223" s="28" t="s">
        <v>668</v>
      </c>
      <c r="C223" s="19" t="s">
        <v>669</v>
      </c>
      <c r="D223" s="19" t="s">
        <v>670</v>
      </c>
      <c r="E223" s="41"/>
      <c r="F223" s="20" t="s">
        <v>435</v>
      </c>
      <c r="G223" s="20" t="s">
        <v>590</v>
      </c>
      <c r="H223" s="42"/>
      <c r="I223" s="70" t="s">
        <v>40</v>
      </c>
      <c r="J223" s="70"/>
      <c r="K223" s="72" t="s">
        <v>591</v>
      </c>
      <c r="L223" s="72"/>
      <c r="M223" s="72" t="s">
        <v>671</v>
      </c>
      <c r="N223" s="70"/>
      <c r="O223" s="70"/>
      <c r="P223" s="70"/>
      <c r="U223" s="20" t="s">
        <v>42</v>
      </c>
      <c r="W223" s="126">
        <v>24.194343566894531</v>
      </c>
      <c r="X223" s="60">
        <f>'Additional information'!$E$19</f>
        <v>0.08</v>
      </c>
      <c r="Y223" s="112">
        <f t="shared" si="18"/>
        <v>1.9355474853515626</v>
      </c>
      <c r="Z223" s="112">
        <f t="shared" si="17"/>
        <v>1.9355474853515626</v>
      </c>
    </row>
    <row r="224" spans="1:27" x14ac:dyDescent="0.2">
      <c r="E224" s="41"/>
      <c r="H224" s="42"/>
      <c r="M224" s="82"/>
      <c r="W224" s="126"/>
      <c r="X224" s="60">
        <f>'Additional information'!$E$19</f>
        <v>0.08</v>
      </c>
      <c r="Y224" s="112" t="str">
        <f t="shared" si="18"/>
        <v/>
      </c>
      <c r="Z224" s="112" t="str">
        <f t="shared" ref="Z224:Z254" si="19">IF(AND(W224&lt;&gt;"",U224="yes"),W224*X224,"")</f>
        <v/>
      </c>
    </row>
    <row r="225" spans="1:27" ht="48" customHeight="1" x14ac:dyDescent="0.2">
      <c r="A225" s="28" t="s">
        <v>223</v>
      </c>
      <c r="B225" s="28" t="s">
        <v>672</v>
      </c>
      <c r="C225" s="34" t="s">
        <v>673</v>
      </c>
      <c r="D225" s="19" t="s">
        <v>674</v>
      </c>
      <c r="E225" s="41"/>
      <c r="F225" s="28" t="s">
        <v>596</v>
      </c>
      <c r="G225" s="59" t="s">
        <v>675</v>
      </c>
      <c r="H225" s="42"/>
      <c r="I225" s="70" t="s">
        <v>40</v>
      </c>
      <c r="J225" s="70"/>
      <c r="K225" s="70"/>
      <c r="L225" s="70"/>
      <c r="M225" s="72"/>
      <c r="N225" s="70"/>
      <c r="O225" s="70"/>
      <c r="P225" s="70"/>
      <c r="U225" s="20" t="s">
        <v>42</v>
      </c>
      <c r="W225" s="126">
        <v>19.321737289428711</v>
      </c>
      <c r="X225" s="60">
        <f>'Additional information'!$E$19</f>
        <v>0.08</v>
      </c>
      <c r="Y225" s="112">
        <f t="shared" si="18"/>
        <v>1.5457389831542969</v>
      </c>
      <c r="Z225" s="112">
        <f t="shared" si="19"/>
        <v>1.5457389831542969</v>
      </c>
    </row>
    <row r="226" spans="1:27" x14ac:dyDescent="0.2">
      <c r="C226" s="22"/>
      <c r="D226" s="22"/>
      <c r="E226" s="41"/>
      <c r="H226" s="42"/>
      <c r="M226" s="82"/>
      <c r="W226" s="126"/>
      <c r="X226" s="60">
        <f>'Additional information'!$E$19</f>
        <v>0.08</v>
      </c>
      <c r="Y226" s="112" t="str">
        <f t="shared" si="18"/>
        <v/>
      </c>
      <c r="Z226" s="112" t="str">
        <f t="shared" si="19"/>
        <v/>
      </c>
    </row>
    <row r="227" spans="1:27" ht="16" customHeight="1" thickBot="1" x14ac:dyDescent="0.25">
      <c r="A227" s="54" t="s">
        <v>118</v>
      </c>
      <c r="B227" s="54"/>
      <c r="C227" s="55"/>
      <c r="D227" s="55"/>
      <c r="E227" s="62"/>
      <c r="F227" s="54"/>
      <c r="G227" s="54"/>
      <c r="H227" s="63"/>
      <c r="I227" s="83"/>
      <c r="J227" s="83"/>
      <c r="K227" s="83"/>
      <c r="L227" s="83"/>
      <c r="M227" s="83"/>
      <c r="N227" s="83"/>
      <c r="O227" s="83"/>
      <c r="P227" s="83"/>
      <c r="W227" s="126"/>
      <c r="Y227" s="112" t="str">
        <f t="shared" si="18"/>
        <v/>
      </c>
      <c r="Z227" s="112" t="str">
        <f t="shared" si="19"/>
        <v/>
      </c>
    </row>
    <row r="228" spans="1:27" s="26" customFormat="1" ht="16" customHeight="1" x14ac:dyDescent="0.2">
      <c r="A228" s="23" t="s">
        <v>61</v>
      </c>
      <c r="B228" s="23" t="s">
        <v>676</v>
      </c>
      <c r="C228" s="47" t="s">
        <v>677</v>
      </c>
      <c r="D228" s="47" t="s">
        <v>678</v>
      </c>
      <c r="E228" s="24"/>
      <c r="F228" s="23"/>
      <c r="G228" s="23"/>
      <c r="H228" s="25"/>
      <c r="I228" s="75" t="s">
        <v>51</v>
      </c>
      <c r="J228" s="75"/>
      <c r="K228" s="75"/>
      <c r="L228" s="75"/>
      <c r="M228" s="75" t="s">
        <v>679</v>
      </c>
      <c r="N228" s="75"/>
      <c r="O228" s="75"/>
      <c r="P228" s="75"/>
      <c r="U228" s="20" t="s">
        <v>42</v>
      </c>
      <c r="W228" s="126"/>
      <c r="X228" s="27"/>
      <c r="Y228" s="112" t="str">
        <f t="shared" si="18"/>
        <v/>
      </c>
      <c r="Z228" s="112" t="str">
        <f t="shared" si="19"/>
        <v/>
      </c>
      <c r="AA228" s="27"/>
    </row>
    <row r="229" spans="1:27" s="29" customFormat="1" ht="64" customHeight="1" x14ac:dyDescent="0.2">
      <c r="A229" s="33" t="s">
        <v>45</v>
      </c>
      <c r="B229" s="33" t="s">
        <v>680</v>
      </c>
      <c r="C229" s="34" t="s">
        <v>681</v>
      </c>
      <c r="D229" s="34" t="s">
        <v>682</v>
      </c>
      <c r="E229" s="51"/>
      <c r="H229" s="53"/>
      <c r="I229" s="72"/>
      <c r="J229" s="72"/>
      <c r="K229" s="72"/>
      <c r="L229" s="72"/>
      <c r="M229" s="72"/>
      <c r="N229" s="72"/>
      <c r="O229" s="72"/>
      <c r="P229" s="72"/>
      <c r="U229" s="29" t="s">
        <v>42</v>
      </c>
      <c r="W229" s="126">
        <v>7.5</v>
      </c>
      <c r="X229" s="60">
        <f>'Additional information'!$E$20</f>
        <v>0.01</v>
      </c>
      <c r="Y229" s="112">
        <f t="shared" si="18"/>
        <v>7.4999999999999997E-2</v>
      </c>
      <c r="Z229" s="112">
        <f t="shared" si="19"/>
        <v>7.4999999999999997E-2</v>
      </c>
    </row>
    <row r="230" spans="1:27" s="26" customFormat="1" x14ac:dyDescent="0.2">
      <c r="C230" s="48"/>
      <c r="D230" s="22"/>
      <c r="E230" s="24"/>
      <c r="H230" s="25"/>
      <c r="I230" s="76"/>
      <c r="J230" s="76"/>
      <c r="K230" s="76"/>
      <c r="L230" s="76"/>
      <c r="M230" s="76"/>
      <c r="N230" s="76"/>
      <c r="O230" s="76"/>
      <c r="P230" s="76"/>
      <c r="U230" s="20"/>
      <c r="W230" s="126"/>
      <c r="X230" s="60">
        <f>'Additional information'!$E$20</f>
        <v>0.01</v>
      </c>
      <c r="Y230" s="112" t="str">
        <f t="shared" si="18"/>
        <v/>
      </c>
      <c r="Z230" s="112" t="str">
        <f t="shared" si="19"/>
        <v/>
      </c>
      <c r="AA230" s="27"/>
    </row>
    <row r="231" spans="1:27" ht="32" customHeight="1" x14ac:dyDescent="0.2">
      <c r="A231" s="28" t="s">
        <v>683</v>
      </c>
      <c r="B231" s="28" t="s">
        <v>684</v>
      </c>
      <c r="C231" s="19" t="s">
        <v>685</v>
      </c>
      <c r="D231" s="34" t="s">
        <v>686</v>
      </c>
      <c r="E231" s="41"/>
      <c r="F231" s="20" t="s">
        <v>687</v>
      </c>
      <c r="G231" s="20" t="s">
        <v>389</v>
      </c>
      <c r="H231" s="42"/>
      <c r="I231" s="70" t="s">
        <v>40</v>
      </c>
      <c r="J231" s="70"/>
      <c r="K231" s="70" t="s">
        <v>591</v>
      </c>
      <c r="L231" s="70"/>
      <c r="M231" s="70"/>
      <c r="N231" s="70"/>
      <c r="O231" s="70"/>
      <c r="P231" s="70"/>
      <c r="U231" s="20" t="s">
        <v>42</v>
      </c>
      <c r="W231" s="126">
        <v>19.090116500854489</v>
      </c>
      <c r="X231" s="60">
        <f>'Additional information'!$E$20</f>
        <v>0.01</v>
      </c>
      <c r="Y231" s="112">
        <f t="shared" si="18"/>
        <v>0.1909011650085449</v>
      </c>
      <c r="Z231" s="112">
        <f t="shared" si="19"/>
        <v>0.1909011650085449</v>
      </c>
    </row>
    <row r="232" spans="1:27" x14ac:dyDescent="0.2">
      <c r="D232" s="22"/>
      <c r="E232" s="41"/>
      <c r="H232" s="42"/>
      <c r="W232" s="126"/>
      <c r="X232" s="60">
        <f>'Additional information'!$E$20</f>
        <v>0.01</v>
      </c>
      <c r="Y232" s="112" t="str">
        <f t="shared" si="18"/>
        <v/>
      </c>
      <c r="Z232" s="112" t="str">
        <f t="shared" si="19"/>
        <v/>
      </c>
    </row>
    <row r="233" spans="1:27" ht="48" customHeight="1" x14ac:dyDescent="0.2">
      <c r="A233" s="28" t="s">
        <v>223</v>
      </c>
      <c r="B233" s="28" t="s">
        <v>688</v>
      </c>
      <c r="C233" s="19" t="s">
        <v>689</v>
      </c>
      <c r="D233" s="301" t="s">
        <v>690</v>
      </c>
      <c r="E233" s="41"/>
      <c r="H233" s="42"/>
      <c r="I233" s="70" t="s">
        <v>40</v>
      </c>
      <c r="J233" s="70"/>
      <c r="K233" s="70"/>
      <c r="L233" s="70"/>
      <c r="M233" s="70"/>
      <c r="N233" s="70"/>
      <c r="O233" s="70"/>
      <c r="P233" s="70"/>
      <c r="U233" s="20" t="s">
        <v>42</v>
      </c>
      <c r="W233" s="126">
        <v>17.656976699829102</v>
      </c>
      <c r="X233" s="60">
        <f>'Additional information'!$E$20</f>
        <v>0.01</v>
      </c>
      <c r="Y233" s="112">
        <f t="shared" si="18"/>
        <v>0.17656976699829102</v>
      </c>
      <c r="Z233" s="112">
        <f t="shared" si="19"/>
        <v>0.17656976699829102</v>
      </c>
    </row>
    <row r="234" spans="1:27" x14ac:dyDescent="0.2">
      <c r="D234" s="22"/>
      <c r="E234" s="41"/>
      <c r="H234" s="42"/>
      <c r="W234" s="126"/>
      <c r="X234" s="60">
        <f>'Additional information'!$E$20</f>
        <v>0.01</v>
      </c>
      <c r="Y234" s="112" t="str">
        <f t="shared" si="18"/>
        <v/>
      </c>
      <c r="Z234" s="112" t="str">
        <f t="shared" si="19"/>
        <v/>
      </c>
    </row>
    <row r="235" spans="1:27" ht="32" customHeight="1" x14ac:dyDescent="0.2">
      <c r="A235" s="28" t="s">
        <v>102</v>
      </c>
      <c r="B235" s="28" t="s">
        <v>691</v>
      </c>
      <c r="C235" s="19" t="s">
        <v>692</v>
      </c>
      <c r="D235" s="34" t="s">
        <v>693</v>
      </c>
      <c r="E235" s="41"/>
      <c r="H235" s="42"/>
      <c r="I235" s="70" t="s">
        <v>40</v>
      </c>
      <c r="J235" s="70"/>
      <c r="K235" s="70"/>
      <c r="L235" s="70"/>
      <c r="M235" s="70"/>
      <c r="N235" s="70"/>
      <c r="O235" s="70"/>
      <c r="P235" s="70"/>
      <c r="U235" s="20" t="s">
        <v>42</v>
      </c>
      <c r="W235" s="127">
        <v>8.7647056579589844</v>
      </c>
      <c r="X235" s="60">
        <f>'Additional information'!$E$20</f>
        <v>0.01</v>
      </c>
      <c r="Y235" s="112">
        <f t="shared" si="18"/>
        <v>8.7647056579589849E-2</v>
      </c>
      <c r="Z235" s="112">
        <f t="shared" si="19"/>
        <v>8.7647056579589849E-2</v>
      </c>
    </row>
    <row r="236" spans="1:27" ht="32" customHeight="1" x14ac:dyDescent="0.2">
      <c r="A236" s="28" t="s">
        <v>694</v>
      </c>
      <c r="B236" s="28" t="s">
        <v>695</v>
      </c>
      <c r="C236" s="19" t="s">
        <v>696</v>
      </c>
      <c r="D236" s="34" t="s">
        <v>697</v>
      </c>
      <c r="E236" s="41"/>
      <c r="F236" s="20" t="s">
        <v>435</v>
      </c>
      <c r="G236" s="20" t="s">
        <v>698</v>
      </c>
      <c r="H236" s="42"/>
      <c r="I236" s="70"/>
      <c r="J236" s="70"/>
      <c r="K236" s="72" t="s">
        <v>591</v>
      </c>
      <c r="L236" s="70"/>
      <c r="M236" s="72" t="s">
        <v>699</v>
      </c>
      <c r="N236" s="70"/>
      <c r="O236" s="70"/>
      <c r="P236" s="70"/>
      <c r="U236" s="20" t="s">
        <v>42</v>
      </c>
      <c r="W236" s="127">
        <v>27.9538459777832</v>
      </c>
      <c r="X236" s="60">
        <f>'Additional information'!$E$20</f>
        <v>0.01</v>
      </c>
      <c r="Y236" s="112">
        <f t="shared" si="18"/>
        <v>0.27953845977783198</v>
      </c>
      <c r="Z236" s="112">
        <f t="shared" si="19"/>
        <v>0.27953845977783198</v>
      </c>
    </row>
    <row r="237" spans="1:27" ht="16" customHeight="1" x14ac:dyDescent="0.2">
      <c r="A237" s="28" t="s">
        <v>66</v>
      </c>
      <c r="B237" s="28" t="s">
        <v>700</v>
      </c>
      <c r="C237" s="34" t="s">
        <v>353</v>
      </c>
      <c r="E237" s="51"/>
      <c r="F237" s="29" t="s">
        <v>374</v>
      </c>
      <c r="G237" s="30" t="s">
        <v>701</v>
      </c>
      <c r="H237" s="42"/>
      <c r="I237" s="70" t="s">
        <v>40</v>
      </c>
      <c r="J237" s="70"/>
      <c r="K237" s="70"/>
      <c r="L237" s="70"/>
      <c r="M237" s="70" t="s">
        <v>702</v>
      </c>
      <c r="N237" s="70"/>
      <c r="O237" s="70"/>
      <c r="P237" s="70"/>
      <c r="U237" s="20" t="s">
        <v>42</v>
      </c>
      <c r="W237" s="126"/>
      <c r="X237" s="60">
        <f>'Additional information'!$E$20</f>
        <v>0.01</v>
      </c>
      <c r="Y237" s="112" t="str">
        <f t="shared" si="18"/>
        <v/>
      </c>
      <c r="Z237" s="112" t="str">
        <f t="shared" si="19"/>
        <v/>
      </c>
    </row>
    <row r="238" spans="1:27" x14ac:dyDescent="0.2">
      <c r="E238" s="41"/>
      <c r="H238" s="42"/>
      <c r="W238" s="126"/>
      <c r="X238" s="60">
        <f>'Additional information'!$E$20</f>
        <v>0.01</v>
      </c>
      <c r="Y238" s="112" t="str">
        <f t="shared" si="18"/>
        <v/>
      </c>
      <c r="Z238" s="112" t="str">
        <f t="shared" si="19"/>
        <v/>
      </c>
    </row>
    <row r="239" spans="1:27" s="30" customFormat="1" ht="32" customHeight="1" x14ac:dyDescent="0.2">
      <c r="A239" s="30" t="s">
        <v>703</v>
      </c>
      <c r="B239" s="30" t="s">
        <v>704</v>
      </c>
      <c r="C239" s="31" t="s">
        <v>705</v>
      </c>
      <c r="D239" s="31" t="s">
        <v>706</v>
      </c>
      <c r="E239" s="32"/>
      <c r="F239" s="30" t="s">
        <v>687</v>
      </c>
      <c r="G239" s="30" t="s">
        <v>707</v>
      </c>
      <c r="H239" s="36"/>
      <c r="I239" s="71" t="s">
        <v>40</v>
      </c>
      <c r="J239" s="71"/>
      <c r="K239" s="71" t="s">
        <v>591</v>
      </c>
      <c r="L239" s="71"/>
      <c r="M239" s="71" t="s">
        <v>708</v>
      </c>
      <c r="N239" s="71"/>
      <c r="O239" s="71"/>
      <c r="P239" s="71"/>
      <c r="U239" s="30" t="s">
        <v>52</v>
      </c>
      <c r="W239" s="126">
        <v>21.25</v>
      </c>
      <c r="X239" s="60">
        <f>'Additional information'!$E$20</f>
        <v>0.01</v>
      </c>
      <c r="Y239" s="112">
        <f t="shared" si="18"/>
        <v>0.21249999999999999</v>
      </c>
      <c r="Z239" s="112" t="str">
        <f t="shared" si="19"/>
        <v/>
      </c>
      <c r="AA239" s="29"/>
    </row>
    <row r="240" spans="1:27" s="30" customFormat="1" ht="16" customHeight="1" x14ac:dyDescent="0.2">
      <c r="A240" s="30" t="s">
        <v>66</v>
      </c>
      <c r="B240" s="30" t="s">
        <v>709</v>
      </c>
      <c r="C240" s="31" t="s">
        <v>353</v>
      </c>
      <c r="D240" s="31" t="s">
        <v>710</v>
      </c>
      <c r="E240" s="32"/>
      <c r="F240" s="30" t="s">
        <v>374</v>
      </c>
      <c r="G240" s="30" t="s">
        <v>701</v>
      </c>
      <c r="H240" s="36"/>
      <c r="I240" s="71" t="s">
        <v>40</v>
      </c>
      <c r="J240" s="71"/>
      <c r="K240" s="71"/>
      <c r="L240" s="71"/>
      <c r="M240" s="71" t="s">
        <v>711</v>
      </c>
      <c r="N240" s="71"/>
      <c r="O240" s="71"/>
      <c r="P240" s="71"/>
      <c r="U240" s="30" t="s">
        <v>52</v>
      </c>
      <c r="W240" s="126"/>
      <c r="X240" s="60">
        <f>'Additional information'!$E$20</f>
        <v>0.01</v>
      </c>
      <c r="Y240" s="112" t="str">
        <f t="shared" ref="Y240:Y271" si="20">IF(W240&lt;&gt;"",W240*X240,"")</f>
        <v/>
      </c>
      <c r="Z240" s="112" t="str">
        <f t="shared" si="19"/>
        <v/>
      </c>
      <c r="AA240" s="29"/>
    </row>
    <row r="241" spans="1:27" s="30" customFormat="1" x14ac:dyDescent="0.2">
      <c r="C241" s="31"/>
      <c r="D241" s="31"/>
      <c r="E241" s="32"/>
      <c r="H241" s="36"/>
      <c r="I241" s="71"/>
      <c r="J241" s="71"/>
      <c r="K241" s="71"/>
      <c r="L241" s="71"/>
      <c r="M241" s="71"/>
      <c r="N241" s="71"/>
      <c r="O241" s="71"/>
      <c r="P241" s="71"/>
      <c r="W241" s="126"/>
      <c r="X241" s="60">
        <f>'Additional information'!$E$20</f>
        <v>0.01</v>
      </c>
      <c r="Y241" s="112" t="str">
        <f t="shared" si="20"/>
        <v/>
      </c>
      <c r="Z241" s="112" t="str">
        <f t="shared" si="19"/>
        <v/>
      </c>
      <c r="AA241" s="29"/>
    </row>
    <row r="242" spans="1:27" ht="16" customHeight="1" thickBot="1" x14ac:dyDescent="0.25">
      <c r="A242" s="49" t="s">
        <v>118</v>
      </c>
      <c r="B242" s="49"/>
      <c r="C242" s="50"/>
      <c r="D242" s="50"/>
      <c r="E242" s="45"/>
      <c r="F242" s="49"/>
      <c r="G242" s="49"/>
      <c r="H242" s="46"/>
      <c r="I242" s="81"/>
      <c r="J242" s="81"/>
      <c r="K242" s="81"/>
      <c r="L242" s="81"/>
      <c r="M242" s="81"/>
      <c r="N242" s="81"/>
      <c r="O242" s="81"/>
      <c r="P242" s="81"/>
      <c r="W242" s="126"/>
      <c r="Y242" s="112" t="str">
        <f t="shared" si="20"/>
        <v/>
      </c>
      <c r="Z242" s="112" t="str">
        <f t="shared" si="19"/>
        <v/>
      </c>
    </row>
    <row r="243" spans="1:27" s="26" customFormat="1" ht="17" customHeight="1" thickTop="1" x14ac:dyDescent="0.2">
      <c r="A243" s="23" t="s">
        <v>61</v>
      </c>
      <c r="B243" s="23" t="s">
        <v>712</v>
      </c>
      <c r="C243" s="47" t="s">
        <v>713</v>
      </c>
      <c r="D243" s="47" t="s">
        <v>714</v>
      </c>
      <c r="E243" s="24"/>
      <c r="F243" s="23"/>
      <c r="G243" s="23"/>
      <c r="H243" s="25"/>
      <c r="I243" s="75" t="s">
        <v>51</v>
      </c>
      <c r="J243" s="75"/>
      <c r="K243" s="75"/>
      <c r="L243" s="75"/>
      <c r="M243" s="75" t="s">
        <v>715</v>
      </c>
      <c r="N243" s="75"/>
      <c r="O243" s="75"/>
      <c r="P243" s="75"/>
      <c r="U243" s="20" t="s">
        <v>42</v>
      </c>
      <c r="W243" s="126"/>
      <c r="X243" s="27"/>
      <c r="Y243" s="112" t="str">
        <f t="shared" si="20"/>
        <v/>
      </c>
      <c r="Z243" s="112" t="str">
        <f t="shared" si="19"/>
        <v/>
      </c>
      <c r="AA243" s="27"/>
    </row>
    <row r="244" spans="1:27" s="26" customFormat="1" x14ac:dyDescent="0.2">
      <c r="C244" s="48"/>
      <c r="D244" s="48"/>
      <c r="E244" s="24"/>
      <c r="H244" s="25"/>
      <c r="I244" s="76"/>
      <c r="J244" s="76"/>
      <c r="K244" s="76"/>
      <c r="L244" s="76"/>
      <c r="M244" s="76"/>
      <c r="N244" s="76"/>
      <c r="O244" s="76"/>
      <c r="P244" s="76"/>
      <c r="U244" s="20"/>
      <c r="W244" s="126"/>
      <c r="X244" s="60">
        <f>'Additional information'!$E$20</f>
        <v>0.01</v>
      </c>
      <c r="Y244" s="112" t="str">
        <f t="shared" si="20"/>
        <v/>
      </c>
      <c r="Z244" s="112" t="str">
        <f t="shared" si="19"/>
        <v/>
      </c>
      <c r="AA244" s="27"/>
    </row>
    <row r="245" spans="1:27" s="26" customFormat="1" ht="32" customHeight="1" x14ac:dyDescent="0.2">
      <c r="A245" s="28" t="s">
        <v>716</v>
      </c>
      <c r="B245" s="28" t="s">
        <v>717</v>
      </c>
      <c r="C245" s="19" t="s">
        <v>718</v>
      </c>
      <c r="D245" s="19" t="s">
        <v>719</v>
      </c>
      <c r="E245" s="41"/>
      <c r="F245" s="28"/>
      <c r="G245" s="28"/>
      <c r="H245" s="42"/>
      <c r="I245" s="70" t="s">
        <v>40</v>
      </c>
      <c r="J245" s="75"/>
      <c r="K245" s="75"/>
      <c r="L245" s="75"/>
      <c r="M245" s="75"/>
      <c r="N245" s="75"/>
      <c r="O245" s="75"/>
      <c r="P245" s="75"/>
      <c r="U245" s="20" t="s">
        <v>42</v>
      </c>
      <c r="W245" s="126">
        <v>14.38495540618896</v>
      </c>
      <c r="X245" s="60">
        <f>'Additional information'!$E$20</f>
        <v>0.01</v>
      </c>
      <c r="Y245" s="112">
        <f t="shared" si="20"/>
        <v>0.1438495540618896</v>
      </c>
      <c r="Z245" s="112">
        <f t="shared" si="19"/>
        <v>0.1438495540618896</v>
      </c>
      <c r="AA245" s="27"/>
    </row>
    <row r="246" spans="1:27" x14ac:dyDescent="0.2">
      <c r="A246" s="28" t="s">
        <v>26</v>
      </c>
      <c r="B246" s="28" t="s">
        <v>720</v>
      </c>
      <c r="C246" s="19"/>
      <c r="D246" s="19"/>
      <c r="E246" s="41"/>
      <c r="F246" s="28"/>
      <c r="G246" s="28"/>
      <c r="H246" s="42"/>
      <c r="I246" s="70"/>
      <c r="J246" s="70"/>
      <c r="K246" s="70"/>
      <c r="L246" s="70"/>
      <c r="M246" s="70"/>
      <c r="N246" s="70"/>
      <c r="O246" s="70"/>
      <c r="P246" s="70" t="s">
        <v>721</v>
      </c>
      <c r="U246" s="20" t="s">
        <v>42</v>
      </c>
      <c r="W246" s="126"/>
      <c r="X246" s="60">
        <f>'Additional information'!$E$20</f>
        <v>0.01</v>
      </c>
      <c r="Y246" s="112" t="str">
        <f t="shared" si="20"/>
        <v/>
      </c>
      <c r="Z246" s="112" t="str">
        <f t="shared" si="19"/>
        <v/>
      </c>
    </row>
    <row r="247" spans="1:27" ht="16" customHeight="1" x14ac:dyDescent="0.2">
      <c r="A247" s="28" t="s">
        <v>66</v>
      </c>
      <c r="B247" s="28" t="s">
        <v>722</v>
      </c>
      <c r="C247" s="34" t="s">
        <v>353</v>
      </c>
      <c r="D247" s="19" t="s">
        <v>373</v>
      </c>
      <c r="E247" s="51"/>
      <c r="F247" s="29" t="s">
        <v>374</v>
      </c>
      <c r="G247" s="30" t="s">
        <v>701</v>
      </c>
      <c r="H247" s="42"/>
      <c r="I247" s="70" t="s">
        <v>40</v>
      </c>
      <c r="J247" s="70"/>
      <c r="K247" s="70"/>
      <c r="L247" s="70"/>
      <c r="M247" s="72" t="s">
        <v>723</v>
      </c>
      <c r="N247" s="70"/>
      <c r="O247" s="70"/>
      <c r="P247" s="70"/>
      <c r="U247" s="20" t="s">
        <v>42</v>
      </c>
      <c r="W247" s="126"/>
      <c r="X247" s="60">
        <f>'Additional information'!$E$20</f>
        <v>0.01</v>
      </c>
      <c r="Y247" s="112" t="str">
        <f t="shared" si="20"/>
        <v/>
      </c>
      <c r="Z247" s="112" t="str">
        <f t="shared" si="19"/>
        <v/>
      </c>
    </row>
    <row r="248" spans="1:27" x14ac:dyDescent="0.2">
      <c r="E248" s="41"/>
      <c r="H248" s="42"/>
      <c r="M248" s="82"/>
      <c r="W248" s="126"/>
      <c r="X248" s="60">
        <f>'Additional information'!$E$20</f>
        <v>0.01</v>
      </c>
      <c r="Y248" s="112" t="str">
        <f t="shared" si="20"/>
        <v/>
      </c>
      <c r="Z248" s="112" t="str">
        <f t="shared" si="19"/>
        <v/>
      </c>
    </row>
    <row r="249" spans="1:27" ht="32" customHeight="1" x14ac:dyDescent="0.2">
      <c r="A249" s="28" t="s">
        <v>102</v>
      </c>
      <c r="B249" s="28" t="s">
        <v>724</v>
      </c>
      <c r="C249" s="19" t="s">
        <v>725</v>
      </c>
      <c r="D249" s="19" t="s">
        <v>726</v>
      </c>
      <c r="E249" s="41"/>
      <c r="F249" s="28"/>
      <c r="G249" s="28"/>
      <c r="H249" s="42"/>
      <c r="I249" s="70" t="s">
        <v>40</v>
      </c>
      <c r="J249" s="70"/>
      <c r="K249" s="70"/>
      <c r="L249" s="70"/>
      <c r="M249" s="70"/>
      <c r="N249" s="70"/>
      <c r="O249" s="70"/>
      <c r="P249" s="70"/>
      <c r="U249" s="20" t="s">
        <v>42</v>
      </c>
      <c r="W249" s="126">
        <v>9.4380531311035156</v>
      </c>
      <c r="X249" s="60">
        <f>'Additional information'!$E$20</f>
        <v>0.01</v>
      </c>
      <c r="Y249" s="112">
        <f t="shared" si="20"/>
        <v>9.438053131103516E-2</v>
      </c>
      <c r="Z249" s="112">
        <f t="shared" si="19"/>
        <v>9.438053131103516E-2</v>
      </c>
    </row>
    <row r="250" spans="1:27" ht="32" customHeight="1" x14ac:dyDescent="0.2">
      <c r="A250" s="28" t="s">
        <v>727</v>
      </c>
      <c r="B250" s="28" t="s">
        <v>728</v>
      </c>
      <c r="C250" s="19" t="s">
        <v>729</v>
      </c>
      <c r="D250" s="19" t="s">
        <v>730</v>
      </c>
      <c r="E250" s="41"/>
      <c r="F250" s="28" t="s">
        <v>388</v>
      </c>
      <c r="G250" s="28" t="s">
        <v>731</v>
      </c>
      <c r="H250" s="42"/>
      <c r="I250" s="70" t="s">
        <v>40</v>
      </c>
      <c r="J250" s="70"/>
      <c r="K250" s="72" t="s">
        <v>591</v>
      </c>
      <c r="L250" s="70"/>
      <c r="M250" s="72" t="s">
        <v>732</v>
      </c>
      <c r="N250" s="70"/>
      <c r="O250" s="70"/>
      <c r="P250" s="70"/>
      <c r="U250" s="20" t="s">
        <v>42</v>
      </c>
      <c r="W250" s="126">
        <v>27.76699066162109</v>
      </c>
      <c r="X250" s="60">
        <f>'Additional information'!$E$20</f>
        <v>0.01</v>
      </c>
      <c r="Y250" s="112">
        <f t="shared" si="20"/>
        <v>0.27766990661621088</v>
      </c>
      <c r="Z250" s="112">
        <f t="shared" si="19"/>
        <v>0.27766990661621088</v>
      </c>
    </row>
    <row r="251" spans="1:27" ht="16" customHeight="1" x14ac:dyDescent="0.2">
      <c r="A251" s="28" t="s">
        <v>66</v>
      </c>
      <c r="B251" s="28" t="s">
        <v>733</v>
      </c>
      <c r="C251" s="34" t="s">
        <v>353</v>
      </c>
      <c r="D251" s="19" t="s">
        <v>373</v>
      </c>
      <c r="E251" s="51"/>
      <c r="F251" s="29" t="s">
        <v>374</v>
      </c>
      <c r="G251" s="30" t="s">
        <v>701</v>
      </c>
      <c r="H251" s="42"/>
      <c r="I251" s="70" t="s">
        <v>40</v>
      </c>
      <c r="J251" s="70"/>
      <c r="K251" s="70"/>
      <c r="L251" s="70"/>
      <c r="M251" s="72" t="s">
        <v>734</v>
      </c>
      <c r="N251" s="70"/>
      <c r="O251" s="70"/>
      <c r="P251" s="70"/>
      <c r="U251" s="20" t="s">
        <v>42</v>
      </c>
      <c r="W251" s="126"/>
      <c r="X251" s="60">
        <f>'Additional information'!$E$20</f>
        <v>0.01</v>
      </c>
      <c r="Y251" s="112" t="str">
        <f t="shared" si="20"/>
        <v/>
      </c>
      <c r="Z251" s="112" t="str">
        <f t="shared" si="19"/>
        <v/>
      </c>
    </row>
    <row r="252" spans="1:27" x14ac:dyDescent="0.2">
      <c r="E252" s="41"/>
      <c r="H252" s="42"/>
      <c r="M252" s="82"/>
      <c r="W252" s="126"/>
      <c r="X252" s="60">
        <f>'Additional information'!$E$20</f>
        <v>0.01</v>
      </c>
      <c r="Y252" s="112" t="str">
        <f t="shared" si="20"/>
        <v/>
      </c>
      <c r="Z252" s="112" t="str">
        <f t="shared" si="19"/>
        <v/>
      </c>
    </row>
    <row r="253" spans="1:27" ht="48" customHeight="1" x14ac:dyDescent="0.2">
      <c r="A253" s="28" t="s">
        <v>223</v>
      </c>
      <c r="B253" s="28" t="s">
        <v>735</v>
      </c>
      <c r="C253" s="34" t="s">
        <v>736</v>
      </c>
      <c r="D253" s="19" t="s">
        <v>737</v>
      </c>
      <c r="E253" s="41"/>
      <c r="F253" s="28" t="s">
        <v>596</v>
      </c>
      <c r="G253" s="28" t="s">
        <v>675</v>
      </c>
      <c r="H253" s="42"/>
      <c r="I253" s="70" t="s">
        <v>40</v>
      </c>
      <c r="J253" s="70"/>
      <c r="K253" s="70"/>
      <c r="L253" s="70"/>
      <c r="M253" s="72"/>
      <c r="N253" s="70"/>
      <c r="O253" s="70"/>
      <c r="P253" s="70"/>
      <c r="U253" s="20" t="s">
        <v>42</v>
      </c>
      <c r="W253" s="126">
        <v>13.705752372741699</v>
      </c>
      <c r="X253" s="60">
        <f>'Additional information'!$E$20</f>
        <v>0.01</v>
      </c>
      <c r="Y253" s="112">
        <f t="shared" si="20"/>
        <v>0.137057523727417</v>
      </c>
      <c r="Z253" s="112">
        <f t="shared" si="19"/>
        <v>0.137057523727417</v>
      </c>
    </row>
    <row r="254" spans="1:27" ht="16" customHeight="1" thickBot="1" x14ac:dyDescent="0.25">
      <c r="A254" s="49" t="s">
        <v>118</v>
      </c>
      <c r="B254" s="49"/>
      <c r="C254" s="50"/>
      <c r="D254" s="50"/>
      <c r="E254" s="45"/>
      <c r="F254" s="49"/>
      <c r="G254" s="49"/>
      <c r="H254" s="46"/>
      <c r="I254" s="81"/>
      <c r="J254" s="81"/>
      <c r="K254" s="81"/>
      <c r="L254" s="81"/>
      <c r="M254" s="81"/>
      <c r="N254" s="81"/>
      <c r="O254" s="81"/>
      <c r="P254" s="81"/>
      <c r="W254" s="126"/>
      <c r="Y254" s="112" t="str">
        <f t="shared" si="20"/>
        <v/>
      </c>
      <c r="Z254" s="112" t="str">
        <f t="shared" si="19"/>
        <v/>
      </c>
    </row>
    <row r="255" spans="1:27" ht="17" customHeight="1" thickTop="1" x14ac:dyDescent="0.2">
      <c r="A255" s="26" t="s">
        <v>61</v>
      </c>
      <c r="B255" s="20" t="s">
        <v>738</v>
      </c>
      <c r="C255" s="21" t="s">
        <v>739</v>
      </c>
      <c r="D255" s="48" t="s">
        <v>740</v>
      </c>
      <c r="I255" s="77" t="b">
        <v>0</v>
      </c>
      <c r="M255" s="75" t="s">
        <v>741</v>
      </c>
      <c r="X255" s="60">
        <f>'Additional information'!$E$20</f>
        <v>0.01</v>
      </c>
      <c r="Y255" s="112" t="str">
        <f t="shared" si="20"/>
        <v/>
      </c>
    </row>
    <row r="256" spans="1:27" s="284" customFormat="1" ht="48" customHeight="1" x14ac:dyDescent="0.2">
      <c r="A256" s="287" t="s">
        <v>742</v>
      </c>
      <c r="B256" s="284" t="s">
        <v>743</v>
      </c>
      <c r="C256" s="290" t="s">
        <v>744</v>
      </c>
      <c r="D256" s="290" t="s">
        <v>745</v>
      </c>
      <c r="E256" s="283"/>
      <c r="I256" s="286" t="b">
        <v>1</v>
      </c>
      <c r="J256" s="286"/>
      <c r="K256" s="286"/>
      <c r="L256" s="286"/>
      <c r="M256" s="291"/>
      <c r="N256" s="286"/>
      <c r="O256" s="286"/>
      <c r="P256" s="286"/>
      <c r="W256" s="141">
        <v>5</v>
      </c>
      <c r="X256" s="300">
        <f>'Additional information'!$E$20</f>
        <v>0.01</v>
      </c>
      <c r="Y256" s="143">
        <f t="shared" si="20"/>
        <v>0.05</v>
      </c>
      <c r="Z256" s="143"/>
      <c r="AA256" s="287"/>
    </row>
    <row r="257" spans="1:27" s="284" customFormat="1" ht="16" customHeight="1" x14ac:dyDescent="0.2">
      <c r="A257" s="284" t="s">
        <v>66</v>
      </c>
      <c r="B257" s="284" t="s">
        <v>746</v>
      </c>
      <c r="C257" s="290" t="s">
        <v>747</v>
      </c>
      <c r="D257" s="281" t="s">
        <v>748</v>
      </c>
      <c r="E257" s="283"/>
      <c r="I257" s="286" t="b">
        <v>1</v>
      </c>
      <c r="J257" s="286"/>
      <c r="K257" s="286"/>
      <c r="L257" s="286"/>
      <c r="M257" s="291" t="s">
        <v>749</v>
      </c>
      <c r="N257" s="286"/>
      <c r="O257" s="286"/>
      <c r="P257" s="286"/>
      <c r="W257" s="141">
        <v>5</v>
      </c>
      <c r="X257" s="300">
        <f>'Additional information'!$E$20</f>
        <v>0.01</v>
      </c>
      <c r="Y257" s="143">
        <f t="shared" si="20"/>
        <v>0.05</v>
      </c>
      <c r="Z257" s="143"/>
      <c r="AA257" s="287"/>
    </row>
    <row r="258" spans="1:27" s="284" customFormat="1" ht="16" customHeight="1" x14ac:dyDescent="0.2">
      <c r="A258" s="284" t="s">
        <v>66</v>
      </c>
      <c r="B258" s="284" t="s">
        <v>750</v>
      </c>
      <c r="C258" s="290" t="s">
        <v>751</v>
      </c>
      <c r="D258" s="281" t="s">
        <v>752</v>
      </c>
      <c r="E258" s="283"/>
      <c r="I258" s="286" t="b">
        <v>1</v>
      </c>
      <c r="J258" s="286"/>
      <c r="K258" s="286"/>
      <c r="L258" s="286"/>
      <c r="M258" s="291" t="s">
        <v>753</v>
      </c>
      <c r="N258" s="286"/>
      <c r="O258" s="286"/>
      <c r="P258" s="286"/>
      <c r="W258" s="141">
        <v>5</v>
      </c>
      <c r="X258" s="300">
        <f>'Additional information'!$E$20</f>
        <v>0.01</v>
      </c>
      <c r="Y258" s="143">
        <f t="shared" si="20"/>
        <v>0.05</v>
      </c>
      <c r="Z258" s="143"/>
      <c r="AA258" s="287"/>
    </row>
    <row r="259" spans="1:27" s="284" customFormat="1" ht="16" customHeight="1" x14ac:dyDescent="0.2">
      <c r="A259" s="284" t="s">
        <v>66</v>
      </c>
      <c r="B259" s="284" t="s">
        <v>754</v>
      </c>
      <c r="C259" s="290" t="s">
        <v>755</v>
      </c>
      <c r="D259" s="281" t="s">
        <v>756</v>
      </c>
      <c r="E259" s="283"/>
      <c r="I259" s="286" t="b">
        <v>1</v>
      </c>
      <c r="J259" s="286"/>
      <c r="K259" s="286"/>
      <c r="L259" s="286"/>
      <c r="M259" s="291" t="s">
        <v>757</v>
      </c>
      <c r="N259" s="286"/>
      <c r="O259" s="286"/>
      <c r="P259" s="286"/>
      <c r="W259" s="141">
        <v>5</v>
      </c>
      <c r="X259" s="300">
        <f>'Additional information'!$E$20</f>
        <v>0.01</v>
      </c>
      <c r="Y259" s="143">
        <f t="shared" si="20"/>
        <v>0.05</v>
      </c>
      <c r="Z259" s="143"/>
      <c r="AA259" s="287"/>
    </row>
    <row r="260" spans="1:27" s="284" customFormat="1" x14ac:dyDescent="0.2">
      <c r="A260" s="284" t="s">
        <v>758</v>
      </c>
      <c r="B260" s="284" t="s">
        <v>759</v>
      </c>
      <c r="C260" s="281" t="s">
        <v>760</v>
      </c>
      <c r="D260" s="281" t="s">
        <v>761</v>
      </c>
      <c r="E260" s="283"/>
      <c r="I260" s="286" t="b">
        <v>1</v>
      </c>
      <c r="J260" s="286"/>
      <c r="K260" s="286"/>
      <c r="L260" s="286"/>
      <c r="M260" s="291" t="s">
        <v>749</v>
      </c>
      <c r="N260" s="286"/>
      <c r="O260" s="286"/>
      <c r="P260" s="286"/>
      <c r="W260" s="141">
        <v>10</v>
      </c>
      <c r="X260" s="300">
        <f>'Additional information'!$E$20</f>
        <v>0.01</v>
      </c>
      <c r="Y260" s="143">
        <f t="shared" si="20"/>
        <v>0.1</v>
      </c>
      <c r="Z260" s="143"/>
      <c r="AA260" s="287"/>
    </row>
    <row r="261" spans="1:27" s="284" customFormat="1" ht="16" customHeight="1" x14ac:dyDescent="0.2">
      <c r="A261" s="284" t="s">
        <v>66</v>
      </c>
      <c r="B261" s="284" t="s">
        <v>762</v>
      </c>
      <c r="C261" s="290" t="s">
        <v>308</v>
      </c>
      <c r="D261" s="281" t="s">
        <v>309</v>
      </c>
      <c r="E261" s="283"/>
      <c r="I261" s="286" t="b">
        <v>1</v>
      </c>
      <c r="J261" s="286"/>
      <c r="K261" s="286"/>
      <c r="L261" s="286"/>
      <c r="M261" s="291" t="s">
        <v>763</v>
      </c>
      <c r="N261" s="286"/>
      <c r="O261" s="286"/>
      <c r="P261" s="286"/>
      <c r="W261" s="141"/>
      <c r="X261" s="300">
        <f>'Additional information'!$E$20</f>
        <v>0.01</v>
      </c>
      <c r="Y261" s="143" t="str">
        <f t="shared" si="20"/>
        <v/>
      </c>
      <c r="Z261" s="143"/>
      <c r="AA261" s="287"/>
    </row>
    <row r="262" spans="1:27" s="284" customFormat="1" ht="16" customHeight="1" x14ac:dyDescent="0.2">
      <c r="A262" s="284" t="s">
        <v>764</v>
      </c>
      <c r="B262" s="284" t="s">
        <v>765</v>
      </c>
      <c r="C262" s="290" t="s">
        <v>766</v>
      </c>
      <c r="D262" s="281" t="s">
        <v>767</v>
      </c>
      <c r="E262" s="283"/>
      <c r="I262" s="286" t="b">
        <v>1</v>
      </c>
      <c r="J262" s="286"/>
      <c r="K262" s="286"/>
      <c r="L262" s="286"/>
      <c r="M262" s="291" t="s">
        <v>749</v>
      </c>
      <c r="N262" s="286"/>
      <c r="O262" s="286"/>
      <c r="P262" s="286"/>
      <c r="W262" s="141">
        <v>10</v>
      </c>
      <c r="X262" s="300">
        <f>'Additional information'!$E$20</f>
        <v>0.01</v>
      </c>
      <c r="Y262" s="143">
        <f t="shared" si="20"/>
        <v>0.1</v>
      </c>
      <c r="Z262" s="143"/>
      <c r="AA262" s="287"/>
    </row>
    <row r="263" spans="1:27" s="284" customFormat="1" ht="16" customHeight="1" x14ac:dyDescent="0.2">
      <c r="A263" s="284" t="s">
        <v>66</v>
      </c>
      <c r="B263" s="284" t="s">
        <v>768</v>
      </c>
      <c r="C263" s="290" t="s">
        <v>308</v>
      </c>
      <c r="D263" s="281" t="s">
        <v>309</v>
      </c>
      <c r="E263" s="283"/>
      <c r="I263" s="286" t="b">
        <v>1</v>
      </c>
      <c r="J263" s="286"/>
      <c r="K263" s="286"/>
      <c r="L263" s="286"/>
      <c r="M263" s="291" t="s">
        <v>769</v>
      </c>
      <c r="N263" s="286"/>
      <c r="O263" s="286"/>
      <c r="P263" s="286"/>
      <c r="W263" s="141"/>
      <c r="X263" s="300">
        <f>'Additional information'!$E$20</f>
        <v>0.01</v>
      </c>
      <c r="Y263" s="143" t="str">
        <f t="shared" si="20"/>
        <v/>
      </c>
      <c r="Z263" s="143"/>
      <c r="AA263" s="287"/>
    </row>
    <row r="264" spans="1:27" ht="16" customHeight="1" thickBot="1" x14ac:dyDescent="0.25">
      <c r="A264" s="54" t="s">
        <v>118</v>
      </c>
      <c r="B264" s="54"/>
      <c r="C264" s="55"/>
      <c r="D264" s="55"/>
      <c r="E264" s="62"/>
      <c r="F264" s="54"/>
      <c r="G264" s="54"/>
      <c r="H264" s="63"/>
      <c r="I264" s="83"/>
      <c r="J264" s="83"/>
      <c r="K264" s="83"/>
      <c r="L264" s="83"/>
      <c r="M264" s="83"/>
      <c r="N264" s="83"/>
      <c r="O264" s="83"/>
      <c r="P264" s="83"/>
      <c r="W264" s="126"/>
      <c r="Y264" s="112" t="str">
        <f t="shared" si="20"/>
        <v/>
      </c>
      <c r="Z264" s="112" t="str">
        <f>IF(AND(W264&lt;&gt;"",U264="yes"),W264*X264,"")</f>
        <v/>
      </c>
    </row>
    <row r="265" spans="1:27" ht="17" customHeight="1" thickTop="1" x14ac:dyDescent="0.2">
      <c r="A265" s="26" t="s">
        <v>61</v>
      </c>
      <c r="B265" s="20" t="s">
        <v>770</v>
      </c>
      <c r="C265" s="21" t="s">
        <v>771</v>
      </c>
      <c r="D265" s="48" t="s">
        <v>772</v>
      </c>
      <c r="I265" s="77" t="b">
        <v>0</v>
      </c>
      <c r="M265" s="75" t="s">
        <v>122</v>
      </c>
      <c r="X265" s="60">
        <f>'Additional information'!$E$20</f>
        <v>0.01</v>
      </c>
      <c r="Y265" s="112" t="str">
        <f t="shared" si="20"/>
        <v/>
      </c>
    </row>
    <row r="266" spans="1:27" s="284" customFormat="1" ht="32" customHeight="1" x14ac:dyDescent="0.2">
      <c r="A266" s="287" t="s">
        <v>773</v>
      </c>
      <c r="B266" s="287" t="s">
        <v>774</v>
      </c>
      <c r="C266" s="283" t="s">
        <v>775</v>
      </c>
      <c r="D266" s="283" t="s">
        <v>776</v>
      </c>
      <c r="E266" s="283"/>
      <c r="I266" s="286" t="b">
        <v>1</v>
      </c>
      <c r="J266" s="286"/>
      <c r="K266" s="286"/>
      <c r="L266" s="286"/>
      <c r="M266" s="286"/>
      <c r="N266" s="286"/>
      <c r="O266" s="286"/>
      <c r="P266" s="286"/>
      <c r="W266" s="298">
        <v>5</v>
      </c>
      <c r="X266" s="142">
        <f>'Additional information'!$E$18</f>
        <v>0.35</v>
      </c>
      <c r="Y266" s="112">
        <f t="shared" si="20"/>
        <v>1.75</v>
      </c>
      <c r="Z266" s="287"/>
      <c r="AA266" s="287"/>
    </row>
    <row r="267" spans="1:27" s="284" customFormat="1" ht="32" customHeight="1" x14ac:dyDescent="0.2">
      <c r="A267" s="287" t="s">
        <v>777</v>
      </c>
      <c r="B267" s="287" t="s">
        <v>778</v>
      </c>
      <c r="C267" s="283" t="s">
        <v>779</v>
      </c>
      <c r="D267" s="283" t="s">
        <v>780</v>
      </c>
      <c r="E267" s="283"/>
      <c r="I267" s="286" t="b">
        <v>1</v>
      </c>
      <c r="J267" s="286"/>
      <c r="K267" s="286"/>
      <c r="L267" s="286"/>
      <c r="M267" s="286" t="s">
        <v>781</v>
      </c>
      <c r="N267" s="286"/>
      <c r="O267" s="286"/>
      <c r="P267" s="286"/>
      <c r="W267" s="298">
        <v>10</v>
      </c>
      <c r="X267" s="142">
        <f>'Additional information'!$E$18</f>
        <v>0.35</v>
      </c>
      <c r="Y267" s="112">
        <f t="shared" si="20"/>
        <v>3.5</v>
      </c>
      <c r="Z267" s="287"/>
      <c r="AA267" s="287"/>
    </row>
    <row r="268" spans="1:27" s="284" customFormat="1" ht="16" customHeight="1" x14ac:dyDescent="0.2">
      <c r="A268" s="287" t="s">
        <v>66</v>
      </c>
      <c r="B268" s="287" t="s">
        <v>782</v>
      </c>
      <c r="C268" s="308" t="s">
        <v>308</v>
      </c>
      <c r="D268" s="307" t="s">
        <v>309</v>
      </c>
      <c r="E268" s="283"/>
      <c r="I268" s="286" t="b">
        <v>1</v>
      </c>
      <c r="J268" s="286"/>
      <c r="K268" s="286"/>
      <c r="L268" s="286"/>
      <c r="M268" s="286" t="s">
        <v>783</v>
      </c>
      <c r="N268" s="286"/>
      <c r="O268" s="286"/>
      <c r="P268" s="286"/>
      <c r="W268" s="298"/>
      <c r="X268" s="142">
        <f>'Additional information'!$E$18</f>
        <v>0.35</v>
      </c>
      <c r="Y268" s="112" t="str">
        <f t="shared" si="20"/>
        <v/>
      </c>
      <c r="Z268" s="287"/>
      <c r="AA268" s="287"/>
    </row>
    <row r="269" spans="1:27" s="287" customFormat="1" ht="32" customHeight="1" x14ac:dyDescent="0.2">
      <c r="A269" s="287" t="s">
        <v>66</v>
      </c>
      <c r="B269" s="287" t="s">
        <v>784</v>
      </c>
      <c r="C269" s="290" t="s">
        <v>785</v>
      </c>
      <c r="D269" s="290" t="s">
        <v>786</v>
      </c>
      <c r="E269" s="290"/>
      <c r="I269" s="286" t="b">
        <v>1</v>
      </c>
      <c r="J269" s="291"/>
      <c r="K269" s="291"/>
      <c r="L269" s="291"/>
      <c r="M269" s="291" t="s">
        <v>787</v>
      </c>
      <c r="N269" s="291"/>
      <c r="O269" s="291"/>
      <c r="P269" s="291"/>
      <c r="W269" s="141">
        <v>5</v>
      </c>
      <c r="X269" s="142">
        <f>'Additional information'!$E$18</f>
        <v>0.35</v>
      </c>
      <c r="Y269" s="112">
        <f t="shared" si="20"/>
        <v>1.75</v>
      </c>
      <c r="Z269" s="143"/>
    </row>
    <row r="270" spans="1:27" s="287" customFormat="1" ht="32" customHeight="1" x14ac:dyDescent="0.2">
      <c r="A270" s="287" t="s">
        <v>788</v>
      </c>
      <c r="B270" s="287" t="s">
        <v>789</v>
      </c>
      <c r="C270" s="290" t="s">
        <v>790</v>
      </c>
      <c r="D270" s="290" t="s">
        <v>791</v>
      </c>
      <c r="E270" s="290"/>
      <c r="I270" s="286" t="b">
        <v>1</v>
      </c>
      <c r="J270" s="291"/>
      <c r="K270" s="291"/>
      <c r="L270" s="291"/>
      <c r="M270" s="291" t="s">
        <v>792</v>
      </c>
      <c r="N270" s="291"/>
      <c r="O270" s="291"/>
      <c r="P270" s="291"/>
      <c r="W270" s="141">
        <v>10</v>
      </c>
      <c r="X270" s="142">
        <f>'Additional information'!$E$18</f>
        <v>0.35</v>
      </c>
      <c r="Y270" s="112">
        <f t="shared" si="20"/>
        <v>3.5</v>
      </c>
      <c r="Z270" s="143"/>
    </row>
    <row r="271" spans="1:27" ht="32" customHeight="1" x14ac:dyDescent="0.2">
      <c r="A271" s="287" t="s">
        <v>773</v>
      </c>
      <c r="B271" s="287" t="s">
        <v>793</v>
      </c>
      <c r="C271" s="283" t="s">
        <v>794</v>
      </c>
      <c r="D271" s="283" t="s">
        <v>795</v>
      </c>
      <c r="I271" s="286" t="b">
        <v>1</v>
      </c>
      <c r="W271" s="298">
        <v>5</v>
      </c>
      <c r="X271" s="142">
        <f>'Additional information'!$E$18</f>
        <v>0.35</v>
      </c>
      <c r="Y271" s="112">
        <f t="shared" si="20"/>
        <v>1.75</v>
      </c>
    </row>
    <row r="272" spans="1:27" s="287" customFormat="1" ht="32" customHeight="1" x14ac:dyDescent="0.2">
      <c r="A272" s="287" t="s">
        <v>777</v>
      </c>
      <c r="B272" s="287" t="s">
        <v>796</v>
      </c>
      <c r="C272" s="283" t="s">
        <v>797</v>
      </c>
      <c r="D272" s="283" t="s">
        <v>798</v>
      </c>
      <c r="E272" s="290"/>
      <c r="I272" s="286" t="b">
        <v>1</v>
      </c>
      <c r="J272" s="291"/>
      <c r="K272" s="291"/>
      <c r="L272" s="291"/>
      <c r="M272" s="286" t="s">
        <v>799</v>
      </c>
      <c r="N272" s="291"/>
      <c r="O272" s="291"/>
      <c r="P272" s="291"/>
      <c r="W272" s="141">
        <v>10</v>
      </c>
      <c r="X272" s="142">
        <f>'Additional information'!$E$18</f>
        <v>0.35</v>
      </c>
      <c r="Y272" s="112">
        <f t="shared" ref="Y272:Y303" si="21">IF(W272&lt;&gt;"",W272*X272,"")</f>
        <v>3.5</v>
      </c>
      <c r="Z272" s="143" t="str">
        <f>IF(AND(W272&lt;&gt;"",U272="yes"),W272*X272,"")</f>
        <v/>
      </c>
    </row>
    <row r="273" spans="1:27" s="284" customFormat="1" ht="16" customHeight="1" x14ac:dyDescent="0.2">
      <c r="A273" s="287" t="s">
        <v>66</v>
      </c>
      <c r="B273" s="287" t="s">
        <v>800</v>
      </c>
      <c r="C273" s="308" t="s">
        <v>308</v>
      </c>
      <c r="D273" s="307" t="s">
        <v>309</v>
      </c>
      <c r="E273" s="283"/>
      <c r="I273" s="286" t="b">
        <v>1</v>
      </c>
      <c r="J273" s="286"/>
      <c r="K273" s="286"/>
      <c r="L273" s="286"/>
      <c r="M273" s="286" t="s">
        <v>801</v>
      </c>
      <c r="N273" s="286"/>
      <c r="O273" s="286"/>
      <c r="P273" s="286"/>
      <c r="W273" s="298"/>
      <c r="X273" s="142">
        <f>'Additional information'!$E$18</f>
        <v>0.35</v>
      </c>
      <c r="Y273" s="112" t="str">
        <f t="shared" si="21"/>
        <v/>
      </c>
      <c r="Z273" s="287"/>
      <c r="AA273" s="287"/>
    </row>
    <row r="274" spans="1:27" s="287" customFormat="1" ht="32" customHeight="1" x14ac:dyDescent="0.2">
      <c r="A274" s="287" t="s">
        <v>66</v>
      </c>
      <c r="B274" s="287" t="s">
        <v>802</v>
      </c>
      <c r="C274" s="290" t="s">
        <v>803</v>
      </c>
      <c r="D274" s="290" t="s">
        <v>804</v>
      </c>
      <c r="E274" s="290"/>
      <c r="I274" s="286" t="b">
        <v>1</v>
      </c>
      <c r="J274" s="291"/>
      <c r="K274" s="291"/>
      <c r="L274" s="291"/>
      <c r="M274" s="291" t="s">
        <v>805</v>
      </c>
      <c r="N274" s="291"/>
      <c r="O274" s="291"/>
      <c r="P274" s="291"/>
      <c r="W274" s="141">
        <v>5</v>
      </c>
      <c r="X274" s="142">
        <f>'Additional information'!$E$18</f>
        <v>0.35</v>
      </c>
      <c r="Y274" s="112">
        <f t="shared" si="21"/>
        <v>1.75</v>
      </c>
      <c r="Z274" s="143"/>
    </row>
    <row r="275" spans="1:27" s="287" customFormat="1" ht="32" customHeight="1" x14ac:dyDescent="0.2">
      <c r="A275" s="287" t="s">
        <v>788</v>
      </c>
      <c r="B275" s="287" t="s">
        <v>806</v>
      </c>
      <c r="C275" s="290" t="s">
        <v>807</v>
      </c>
      <c r="D275" s="290" t="s">
        <v>808</v>
      </c>
      <c r="E275" s="290"/>
      <c r="I275" s="286" t="b">
        <v>1</v>
      </c>
      <c r="J275" s="291"/>
      <c r="K275" s="291"/>
      <c r="L275" s="291"/>
      <c r="M275" s="291" t="s">
        <v>809</v>
      </c>
      <c r="N275" s="291"/>
      <c r="O275" s="291"/>
      <c r="P275" s="291"/>
      <c r="W275" s="141">
        <v>5</v>
      </c>
      <c r="X275" s="142">
        <f>'Additional information'!$E$18</f>
        <v>0.35</v>
      </c>
      <c r="Y275" s="112">
        <f t="shared" si="21"/>
        <v>1.75</v>
      </c>
      <c r="Z275" s="143"/>
    </row>
    <row r="276" spans="1:27" ht="16" customHeight="1" thickBot="1" x14ac:dyDescent="0.25">
      <c r="A276" s="54" t="s">
        <v>118</v>
      </c>
      <c r="B276" s="54"/>
      <c r="C276" s="55"/>
      <c r="D276" s="55"/>
      <c r="E276" s="62"/>
      <c r="F276" s="54"/>
      <c r="G276" s="54"/>
      <c r="H276" s="63"/>
      <c r="I276" s="83"/>
      <c r="J276" s="83"/>
      <c r="K276" s="83"/>
      <c r="L276" s="83"/>
      <c r="M276" s="83"/>
      <c r="N276" s="83"/>
      <c r="O276" s="83"/>
      <c r="P276" s="83"/>
      <c r="W276" s="126"/>
      <c r="Y276" s="112" t="str">
        <f t="shared" si="21"/>
        <v/>
      </c>
      <c r="Z276" s="112" t="str">
        <f t="shared" ref="Z276:Z322" si="22">IF(AND(W276&lt;&gt;"",U276="yes"),W276*X276,"")</f>
        <v/>
      </c>
    </row>
    <row r="277" spans="1:27" s="26" customFormat="1" ht="17" customHeight="1" thickTop="1" x14ac:dyDescent="0.2">
      <c r="A277" s="23" t="s">
        <v>61</v>
      </c>
      <c r="B277" s="23" t="s">
        <v>810</v>
      </c>
      <c r="C277" s="47" t="s">
        <v>811</v>
      </c>
      <c r="D277" s="47" t="s">
        <v>812</v>
      </c>
      <c r="E277" s="24"/>
      <c r="F277" s="23"/>
      <c r="G277" s="23"/>
      <c r="H277" s="25"/>
      <c r="I277" s="75" t="s">
        <v>51</v>
      </c>
      <c r="J277" s="75"/>
      <c r="K277" s="75"/>
      <c r="L277" s="75"/>
      <c r="M277" s="75" t="s">
        <v>122</v>
      </c>
      <c r="N277" s="75"/>
      <c r="O277" s="75"/>
      <c r="P277" s="75"/>
      <c r="U277" s="20" t="s">
        <v>42</v>
      </c>
      <c r="W277" s="126"/>
      <c r="X277" s="27"/>
      <c r="Y277" s="112" t="str">
        <f t="shared" si="21"/>
        <v/>
      </c>
      <c r="Z277" s="112" t="str">
        <f t="shared" si="22"/>
        <v/>
      </c>
      <c r="AA277" s="27"/>
    </row>
    <row r="278" spans="1:27" x14ac:dyDescent="0.2">
      <c r="C278" s="22"/>
      <c r="D278" s="22"/>
      <c r="E278" s="41"/>
      <c r="H278" s="42"/>
      <c r="M278" s="82"/>
      <c r="W278" s="126"/>
      <c r="X278" s="60">
        <v>1</v>
      </c>
      <c r="Y278" s="112" t="str">
        <f t="shared" si="21"/>
        <v/>
      </c>
      <c r="Z278" s="112" t="str">
        <f t="shared" si="22"/>
        <v/>
      </c>
    </row>
    <row r="279" spans="1:27" s="26" customFormat="1" ht="48" customHeight="1" x14ac:dyDescent="0.2">
      <c r="A279" s="28" t="s">
        <v>45</v>
      </c>
      <c r="B279" s="28" t="s">
        <v>813</v>
      </c>
      <c r="C279" s="19" t="s">
        <v>814</v>
      </c>
      <c r="D279" s="19" t="s">
        <v>815</v>
      </c>
      <c r="E279" s="24"/>
      <c r="H279" s="25"/>
      <c r="I279" s="75"/>
      <c r="J279" s="75"/>
      <c r="K279" s="75"/>
      <c r="L279" s="75"/>
      <c r="M279" s="75"/>
      <c r="N279" s="75"/>
      <c r="O279" s="75"/>
      <c r="P279" s="75"/>
      <c r="U279" s="20" t="s">
        <v>52</v>
      </c>
      <c r="W279" s="126"/>
      <c r="X279" s="61">
        <v>1</v>
      </c>
      <c r="Y279" s="112" t="str">
        <f t="shared" si="21"/>
        <v/>
      </c>
      <c r="Z279" s="112" t="str">
        <f t="shared" si="22"/>
        <v/>
      </c>
      <c r="AA279" s="27"/>
    </row>
    <row r="280" spans="1:27" x14ac:dyDescent="0.2">
      <c r="C280" s="22"/>
      <c r="D280" s="22"/>
      <c r="E280" s="41"/>
      <c r="H280" s="42"/>
      <c r="M280" s="82"/>
      <c r="W280" s="126"/>
      <c r="X280" s="60">
        <v>1</v>
      </c>
      <c r="Y280" s="112" t="str">
        <f t="shared" si="21"/>
        <v/>
      </c>
      <c r="Z280" s="112" t="str">
        <f t="shared" si="22"/>
        <v/>
      </c>
    </row>
    <row r="281" spans="1:27" s="26" customFormat="1" ht="16" customHeight="1" x14ac:dyDescent="0.2">
      <c r="A281" s="28" t="s">
        <v>61</v>
      </c>
      <c r="B281" s="28" t="s">
        <v>816</v>
      </c>
      <c r="C281" s="47" t="s">
        <v>817</v>
      </c>
      <c r="D281" s="47" t="s">
        <v>817</v>
      </c>
      <c r="E281" s="24"/>
      <c r="F281" s="23"/>
      <c r="G281" s="23"/>
      <c r="H281" s="25"/>
      <c r="I281" s="75"/>
      <c r="J281" s="75"/>
      <c r="K281" s="75"/>
      <c r="L281" s="75"/>
      <c r="M281" s="75"/>
      <c r="N281" s="75"/>
      <c r="O281" s="75"/>
      <c r="P281" s="75"/>
      <c r="U281" s="20"/>
      <c r="W281" s="126"/>
      <c r="X281" s="61">
        <v>1</v>
      </c>
      <c r="Y281" s="112" t="str">
        <f t="shared" si="21"/>
        <v/>
      </c>
      <c r="Z281" s="112" t="str">
        <f t="shared" si="22"/>
        <v/>
      </c>
      <c r="AA281" s="27"/>
    </row>
    <row r="282" spans="1:27" ht="32" customHeight="1" x14ac:dyDescent="0.2">
      <c r="A282" s="28" t="s">
        <v>45</v>
      </c>
      <c r="B282" s="28" t="s">
        <v>818</v>
      </c>
      <c r="C282" s="19" t="s">
        <v>819</v>
      </c>
      <c r="D282" s="19" t="s">
        <v>820</v>
      </c>
      <c r="E282" s="41"/>
      <c r="F282" s="28"/>
      <c r="G282" s="28"/>
      <c r="H282" s="42"/>
      <c r="I282" s="70" t="s">
        <v>51</v>
      </c>
      <c r="J282" s="70"/>
      <c r="K282" s="70"/>
      <c r="L282" s="70"/>
      <c r="M282" s="70"/>
      <c r="N282" s="70"/>
      <c r="O282" s="70"/>
      <c r="P282" s="70"/>
      <c r="U282" s="20" t="s">
        <v>42</v>
      </c>
      <c r="W282" s="126">
        <v>12.77690315246582</v>
      </c>
      <c r="X282" s="61">
        <v>1</v>
      </c>
      <c r="Y282" s="112">
        <f t="shared" si="21"/>
        <v>12.77690315246582</v>
      </c>
      <c r="Z282" s="112">
        <f t="shared" si="22"/>
        <v>12.77690315246582</v>
      </c>
    </row>
    <row r="283" spans="1:27" ht="48" customHeight="1" x14ac:dyDescent="0.2">
      <c r="A283" s="28" t="s">
        <v>102</v>
      </c>
      <c r="B283" s="28" t="s">
        <v>821</v>
      </c>
      <c r="C283" s="19" t="s">
        <v>822</v>
      </c>
      <c r="D283" s="19" t="s">
        <v>823</v>
      </c>
      <c r="E283" s="41"/>
      <c r="F283" s="28"/>
      <c r="G283" s="28"/>
      <c r="H283" s="42"/>
      <c r="I283" s="70" t="s">
        <v>40</v>
      </c>
      <c r="J283" s="70"/>
      <c r="K283" s="70"/>
      <c r="L283" s="70"/>
      <c r="M283" s="70"/>
      <c r="N283" s="70"/>
      <c r="O283" s="70"/>
      <c r="P283" s="70"/>
      <c r="U283" s="20" t="s">
        <v>42</v>
      </c>
      <c r="W283" s="126">
        <v>21.398605346679691</v>
      </c>
      <c r="X283" s="61">
        <v>1</v>
      </c>
      <c r="Y283" s="112">
        <f t="shared" si="21"/>
        <v>21.398605346679691</v>
      </c>
      <c r="Z283" s="112">
        <f t="shared" si="22"/>
        <v>21.398605346679691</v>
      </c>
    </row>
    <row r="284" spans="1:27" ht="48" customHeight="1" x14ac:dyDescent="0.2">
      <c r="A284" s="28" t="s">
        <v>102</v>
      </c>
      <c r="B284" s="28" t="s">
        <v>824</v>
      </c>
      <c r="C284" s="19" t="s">
        <v>825</v>
      </c>
      <c r="D284" s="19" t="s">
        <v>826</v>
      </c>
      <c r="E284" s="41"/>
      <c r="F284" s="28"/>
      <c r="G284" s="28"/>
      <c r="H284" s="42"/>
      <c r="I284" s="70" t="s">
        <v>40</v>
      </c>
      <c r="J284" s="70"/>
      <c r="K284" s="70"/>
      <c r="L284" s="70"/>
      <c r="M284" s="70"/>
      <c r="N284" s="70"/>
      <c r="O284" s="70"/>
      <c r="P284" s="70"/>
      <c r="U284" s="20" t="s">
        <v>42</v>
      </c>
      <c r="W284" s="126">
        <v>14.980740547180179</v>
      </c>
      <c r="X284" s="61">
        <v>1</v>
      </c>
      <c r="Y284" s="112">
        <f t="shared" si="21"/>
        <v>14.980740547180179</v>
      </c>
      <c r="Z284" s="112">
        <f t="shared" si="22"/>
        <v>14.980740547180179</v>
      </c>
    </row>
    <row r="285" spans="1:27" ht="48" customHeight="1" x14ac:dyDescent="0.2">
      <c r="A285" s="28" t="s">
        <v>102</v>
      </c>
      <c r="B285" s="28" t="s">
        <v>827</v>
      </c>
      <c r="C285" s="19" t="s">
        <v>828</v>
      </c>
      <c r="D285" s="19" t="s">
        <v>829</v>
      </c>
      <c r="E285" s="41"/>
      <c r="F285" s="28"/>
      <c r="G285" s="28"/>
      <c r="H285" s="42"/>
      <c r="I285" s="70" t="s">
        <v>40</v>
      </c>
      <c r="J285" s="70"/>
      <c r="K285" s="70"/>
      <c r="L285" s="70"/>
      <c r="M285" s="70"/>
      <c r="N285" s="70"/>
      <c r="O285" s="70"/>
      <c r="P285" s="70"/>
      <c r="U285" s="20" t="s">
        <v>42</v>
      </c>
      <c r="W285" s="126">
        <v>13.72302150726318</v>
      </c>
      <c r="X285" s="61">
        <v>1</v>
      </c>
      <c r="Y285" s="112">
        <f t="shared" si="21"/>
        <v>13.72302150726318</v>
      </c>
      <c r="Z285" s="112">
        <f t="shared" si="22"/>
        <v>13.72302150726318</v>
      </c>
    </row>
    <row r="286" spans="1:27" ht="48" customHeight="1" x14ac:dyDescent="0.2">
      <c r="A286" s="28" t="s">
        <v>102</v>
      </c>
      <c r="B286" s="28" t="s">
        <v>830</v>
      </c>
      <c r="C286" s="19" t="s">
        <v>831</v>
      </c>
      <c r="D286" s="19" t="s">
        <v>832</v>
      </c>
      <c r="E286" s="41"/>
      <c r="F286" s="28"/>
      <c r="G286" s="28"/>
      <c r="H286" s="42"/>
      <c r="I286" s="70" t="s">
        <v>40</v>
      </c>
      <c r="J286" s="70"/>
      <c r="K286" s="70"/>
      <c r="L286" s="70"/>
      <c r="M286" s="70"/>
      <c r="N286" s="70"/>
      <c r="O286" s="70"/>
      <c r="P286" s="70"/>
      <c r="U286" s="20" t="s">
        <v>42</v>
      </c>
      <c r="W286" s="126">
        <v>13.06220054626465</v>
      </c>
      <c r="X286" s="61">
        <v>1</v>
      </c>
      <c r="Y286" s="112">
        <f t="shared" si="21"/>
        <v>13.06220054626465</v>
      </c>
      <c r="Z286" s="112">
        <f t="shared" si="22"/>
        <v>13.06220054626465</v>
      </c>
    </row>
    <row r="287" spans="1:27" ht="48" customHeight="1" x14ac:dyDescent="0.2">
      <c r="A287" s="28" t="s">
        <v>102</v>
      </c>
      <c r="B287" s="28" t="s">
        <v>833</v>
      </c>
      <c r="C287" s="19" t="s">
        <v>834</v>
      </c>
      <c r="D287" s="19" t="s">
        <v>835</v>
      </c>
      <c r="E287" s="41"/>
      <c r="F287" s="28"/>
      <c r="G287" s="28"/>
      <c r="H287" s="42"/>
      <c r="I287" s="70" t="s">
        <v>40</v>
      </c>
      <c r="J287" s="70"/>
      <c r="K287" s="70"/>
      <c r="L287" s="70"/>
      <c r="M287" s="70"/>
      <c r="N287" s="70"/>
      <c r="O287" s="70"/>
      <c r="P287" s="70"/>
      <c r="U287" s="20" t="s">
        <v>42</v>
      </c>
      <c r="W287" s="126">
        <v>13.09532356262207</v>
      </c>
      <c r="X287" s="61">
        <v>1</v>
      </c>
      <c r="Y287" s="112">
        <f t="shared" si="21"/>
        <v>13.09532356262207</v>
      </c>
      <c r="Z287" s="112">
        <f t="shared" si="22"/>
        <v>13.09532356262207</v>
      </c>
    </row>
    <row r="288" spans="1:27" ht="48" customHeight="1" x14ac:dyDescent="0.2">
      <c r="A288" s="28" t="s">
        <v>102</v>
      </c>
      <c r="B288" s="28" t="s">
        <v>836</v>
      </c>
      <c r="C288" s="19" t="s">
        <v>837</v>
      </c>
      <c r="D288" s="19" t="s">
        <v>838</v>
      </c>
      <c r="E288" s="41"/>
      <c r="F288" s="28"/>
      <c r="G288" s="28"/>
      <c r="H288" s="42"/>
      <c r="I288" s="70" t="s">
        <v>40</v>
      </c>
      <c r="J288" s="70"/>
      <c r="K288" s="70"/>
      <c r="L288" s="70"/>
      <c r="M288" s="70"/>
      <c r="N288" s="70"/>
      <c r="O288" s="70"/>
      <c r="P288" s="70"/>
      <c r="U288" s="20" t="s">
        <v>42</v>
      </c>
      <c r="W288" s="126">
        <v>16.10101918465228</v>
      </c>
      <c r="X288" s="61">
        <v>1</v>
      </c>
      <c r="Y288" s="112">
        <f t="shared" si="21"/>
        <v>16.10101918465228</v>
      </c>
      <c r="Z288" s="112">
        <f t="shared" si="22"/>
        <v>16.10101918465228</v>
      </c>
    </row>
    <row r="289" spans="1:26" s="29" customFormat="1" ht="16" customHeight="1" x14ac:dyDescent="0.2">
      <c r="A289" s="33" t="s">
        <v>839</v>
      </c>
      <c r="B289" s="33" t="s">
        <v>840</v>
      </c>
      <c r="C289" s="34" t="s">
        <v>841</v>
      </c>
      <c r="D289" s="19" t="s">
        <v>842</v>
      </c>
      <c r="E289" s="51"/>
      <c r="F289" s="33"/>
      <c r="G289" s="33"/>
      <c r="H289" s="53"/>
      <c r="I289" s="72" t="s">
        <v>40</v>
      </c>
      <c r="J289" s="72"/>
      <c r="K289" s="72"/>
      <c r="L289" s="72"/>
      <c r="M289" s="72" t="s">
        <v>843</v>
      </c>
      <c r="N289" s="72"/>
      <c r="O289" s="72"/>
      <c r="P289" s="72"/>
      <c r="U289" s="29" t="s">
        <v>42</v>
      </c>
      <c r="W289" s="126">
        <v>11.76504325866699</v>
      </c>
      <c r="X289" s="61">
        <v>1</v>
      </c>
      <c r="Y289" s="112">
        <f t="shared" si="21"/>
        <v>11.76504325866699</v>
      </c>
      <c r="Z289" s="112">
        <f t="shared" si="22"/>
        <v>11.76504325866699</v>
      </c>
    </row>
    <row r="290" spans="1:26" s="29" customFormat="1" ht="48" customHeight="1" x14ac:dyDescent="0.2">
      <c r="A290" s="33" t="s">
        <v>102</v>
      </c>
      <c r="B290" s="33" t="s">
        <v>844</v>
      </c>
      <c r="C290" s="34" t="s">
        <v>845</v>
      </c>
      <c r="D290" s="19" t="s">
        <v>846</v>
      </c>
      <c r="E290" s="51"/>
      <c r="F290" s="33"/>
      <c r="G290" s="33"/>
      <c r="H290" s="53"/>
      <c r="I290" s="72" t="s">
        <v>40</v>
      </c>
      <c r="J290" s="72"/>
      <c r="K290" s="72"/>
      <c r="L290" s="72"/>
      <c r="M290" s="72"/>
      <c r="N290" s="72"/>
      <c r="O290" s="72"/>
      <c r="P290" s="72"/>
      <c r="U290" s="29" t="s">
        <v>42</v>
      </c>
      <c r="W290" s="126">
        <v>12.432478904724119</v>
      </c>
      <c r="X290" s="61">
        <v>1</v>
      </c>
      <c r="Y290" s="112">
        <f t="shared" si="21"/>
        <v>12.432478904724119</v>
      </c>
      <c r="Z290" s="112">
        <f t="shared" si="22"/>
        <v>12.432478904724119</v>
      </c>
    </row>
    <row r="291" spans="1:26" s="29" customFormat="1" ht="16" customHeight="1" x14ac:dyDescent="0.2">
      <c r="A291" s="33" t="s">
        <v>839</v>
      </c>
      <c r="B291" s="33" t="s">
        <v>847</v>
      </c>
      <c r="C291" s="34" t="s">
        <v>841</v>
      </c>
      <c r="D291" s="19" t="s">
        <v>842</v>
      </c>
      <c r="E291" s="51"/>
      <c r="F291" s="33"/>
      <c r="G291" s="33"/>
      <c r="H291" s="53"/>
      <c r="I291" s="72" t="s">
        <v>40</v>
      </c>
      <c r="J291" s="72"/>
      <c r="K291" s="72"/>
      <c r="L291" s="72"/>
      <c r="M291" s="72" t="s">
        <v>848</v>
      </c>
      <c r="N291" s="72"/>
      <c r="O291" s="72"/>
      <c r="P291" s="72"/>
      <c r="U291" s="29" t="s">
        <v>42</v>
      </c>
      <c r="W291" s="126">
        <v>8.9801836013793945</v>
      </c>
      <c r="X291" s="61">
        <v>1</v>
      </c>
      <c r="Y291" s="112">
        <f t="shared" si="21"/>
        <v>8.9801836013793945</v>
      </c>
      <c r="Z291" s="112">
        <f t="shared" si="22"/>
        <v>8.9801836013793945</v>
      </c>
    </row>
    <row r="292" spans="1:26" s="29" customFormat="1" ht="48" customHeight="1" x14ac:dyDescent="0.2">
      <c r="A292" s="33" t="s">
        <v>102</v>
      </c>
      <c r="B292" s="33" t="s">
        <v>849</v>
      </c>
      <c r="C292" s="34" t="s">
        <v>850</v>
      </c>
      <c r="D292" s="19" t="s">
        <v>851</v>
      </c>
      <c r="E292" s="51"/>
      <c r="F292" s="33"/>
      <c r="G292" s="33"/>
      <c r="H292" s="53"/>
      <c r="I292" s="72" t="s">
        <v>40</v>
      </c>
      <c r="J292" s="72"/>
      <c r="K292" s="72"/>
      <c r="L292" s="72"/>
      <c r="M292" s="72"/>
      <c r="N292" s="72"/>
      <c r="O292" s="72"/>
      <c r="P292" s="72"/>
      <c r="U292" s="29" t="s">
        <v>42</v>
      </c>
      <c r="W292" s="126">
        <v>11.089328765869141</v>
      </c>
      <c r="X292" s="61">
        <v>1</v>
      </c>
      <c r="Y292" s="112">
        <f t="shared" si="21"/>
        <v>11.089328765869141</v>
      </c>
      <c r="Z292" s="112">
        <f t="shared" si="22"/>
        <v>11.089328765869141</v>
      </c>
    </row>
    <row r="293" spans="1:26" s="29" customFormat="1" ht="16" customHeight="1" x14ac:dyDescent="0.2">
      <c r="A293" s="33" t="s">
        <v>839</v>
      </c>
      <c r="B293" s="33" t="s">
        <v>852</v>
      </c>
      <c r="C293" s="34" t="s">
        <v>841</v>
      </c>
      <c r="D293" s="19" t="s">
        <v>842</v>
      </c>
      <c r="E293" s="51"/>
      <c r="F293" s="33"/>
      <c r="G293" s="33"/>
      <c r="H293" s="53"/>
      <c r="I293" s="72" t="s">
        <v>40</v>
      </c>
      <c r="J293" s="72"/>
      <c r="K293" s="72"/>
      <c r="L293" s="72"/>
      <c r="M293" s="72" t="s">
        <v>853</v>
      </c>
      <c r="N293" s="72"/>
      <c r="O293" s="72"/>
      <c r="P293" s="72"/>
      <c r="U293" s="29" t="s">
        <v>42</v>
      </c>
      <c r="W293" s="126">
        <v>8.0683355331420898</v>
      </c>
      <c r="X293" s="61">
        <v>1</v>
      </c>
      <c r="Y293" s="112">
        <f t="shared" si="21"/>
        <v>8.0683355331420898</v>
      </c>
      <c r="Z293" s="112">
        <f t="shared" si="22"/>
        <v>8.0683355331420898</v>
      </c>
    </row>
    <row r="294" spans="1:26" x14ac:dyDescent="0.2">
      <c r="A294" s="33" t="s">
        <v>118</v>
      </c>
      <c r="B294" s="33"/>
      <c r="C294" s="19"/>
      <c r="D294" s="19"/>
      <c r="E294" s="41"/>
      <c r="F294" s="28"/>
      <c r="G294" s="28"/>
      <c r="H294" s="42"/>
      <c r="I294" s="70"/>
      <c r="J294" s="70"/>
      <c r="K294" s="70"/>
      <c r="L294" s="70"/>
      <c r="M294" s="70"/>
      <c r="N294" s="70"/>
      <c r="O294" s="70"/>
      <c r="P294" s="70"/>
      <c r="W294" s="126"/>
      <c r="X294" s="61">
        <v>1</v>
      </c>
      <c r="Y294" s="112" t="str">
        <f t="shared" si="21"/>
        <v/>
      </c>
      <c r="Z294" s="112" t="str">
        <f t="shared" si="22"/>
        <v/>
      </c>
    </row>
    <row r="295" spans="1:26" x14ac:dyDescent="0.2">
      <c r="A295" s="29"/>
      <c r="B295" s="29"/>
      <c r="E295" s="41"/>
      <c r="H295" s="42"/>
      <c r="W295" s="126"/>
      <c r="X295" s="61">
        <v>1</v>
      </c>
      <c r="Y295" s="112" t="str">
        <f t="shared" si="21"/>
        <v/>
      </c>
      <c r="Z295" s="112" t="str">
        <f t="shared" si="22"/>
        <v/>
      </c>
    </row>
    <row r="296" spans="1:26" s="30" customFormat="1" ht="16" customHeight="1" x14ac:dyDescent="0.2">
      <c r="A296" s="30" t="s">
        <v>61</v>
      </c>
      <c r="B296" s="30" t="s">
        <v>854</v>
      </c>
      <c r="C296" s="109" t="s">
        <v>855</v>
      </c>
      <c r="D296" s="109" t="s">
        <v>855</v>
      </c>
      <c r="E296" s="32"/>
      <c r="H296" s="36"/>
      <c r="I296" s="71"/>
      <c r="J296" s="71" t="s">
        <v>856</v>
      </c>
      <c r="K296" s="71"/>
      <c r="L296" s="71"/>
      <c r="M296" s="71"/>
      <c r="N296" s="71"/>
      <c r="O296" s="71"/>
      <c r="P296" s="71"/>
      <c r="W296" s="130"/>
      <c r="X296" s="110">
        <v>1</v>
      </c>
      <c r="Y296" s="115" t="str">
        <f t="shared" si="21"/>
        <v/>
      </c>
      <c r="Z296" s="115" t="str">
        <f t="shared" si="22"/>
        <v/>
      </c>
    </row>
    <row r="297" spans="1:26" s="30" customFormat="1" ht="64" customHeight="1" x14ac:dyDescent="0.2">
      <c r="A297" s="30" t="s">
        <v>45</v>
      </c>
      <c r="B297" s="30" t="s">
        <v>857</v>
      </c>
      <c r="C297" s="31" t="s">
        <v>858</v>
      </c>
      <c r="D297" s="31" t="s">
        <v>859</v>
      </c>
      <c r="E297" s="32"/>
      <c r="H297" s="36"/>
      <c r="I297" s="71"/>
      <c r="J297" s="71"/>
      <c r="K297" s="71"/>
      <c r="L297" s="71"/>
      <c r="M297" s="71"/>
      <c r="N297" s="71"/>
      <c r="O297" s="71"/>
      <c r="P297" s="71"/>
      <c r="U297" s="30" t="s">
        <v>52</v>
      </c>
      <c r="W297" s="130">
        <v>5.7112536430358887</v>
      </c>
      <c r="X297" s="110">
        <v>1</v>
      </c>
      <c r="Y297" s="115">
        <f t="shared" si="21"/>
        <v>5.7112536430358887</v>
      </c>
      <c r="Z297" s="115" t="str">
        <f t="shared" si="22"/>
        <v/>
      </c>
    </row>
    <row r="298" spans="1:26" s="30" customFormat="1" ht="32" customHeight="1" x14ac:dyDescent="0.2">
      <c r="A298" s="30" t="s">
        <v>860</v>
      </c>
      <c r="B298" s="30" t="s">
        <v>861</v>
      </c>
      <c r="C298" s="31" t="s">
        <v>862</v>
      </c>
      <c r="D298" s="31" t="s">
        <v>863</v>
      </c>
      <c r="E298" s="31"/>
      <c r="I298" s="71" t="s">
        <v>40</v>
      </c>
      <c r="J298" s="71" t="s">
        <v>185</v>
      </c>
      <c r="K298" s="71"/>
      <c r="L298" s="71"/>
      <c r="M298" s="71"/>
      <c r="N298" s="71"/>
      <c r="O298" s="71"/>
      <c r="P298" s="71"/>
      <c r="U298" s="30" t="s">
        <v>52</v>
      </c>
      <c r="W298" s="130">
        <v>19.851530075073239</v>
      </c>
      <c r="X298" s="110">
        <v>1</v>
      </c>
      <c r="Y298" s="115">
        <f t="shared" si="21"/>
        <v>19.851530075073239</v>
      </c>
      <c r="Z298" s="115" t="str">
        <f t="shared" si="22"/>
        <v/>
      </c>
    </row>
    <row r="299" spans="1:26" s="30" customFormat="1" ht="16" customHeight="1" x14ac:dyDescent="0.2">
      <c r="A299" s="30" t="s">
        <v>860</v>
      </c>
      <c r="B299" s="30" t="s">
        <v>864</v>
      </c>
      <c r="C299" s="31" t="s">
        <v>865</v>
      </c>
      <c r="D299" s="31" t="s">
        <v>866</v>
      </c>
      <c r="E299" s="31"/>
      <c r="I299" s="71" t="s">
        <v>40</v>
      </c>
      <c r="J299" s="71" t="s">
        <v>185</v>
      </c>
      <c r="K299" s="71"/>
      <c r="L299" s="71"/>
      <c r="M299" s="71"/>
      <c r="N299" s="71"/>
      <c r="O299" s="71"/>
      <c r="P299" s="71"/>
      <c r="U299" s="30" t="s">
        <v>52</v>
      </c>
      <c r="W299" s="130">
        <v>15.436671257019039</v>
      </c>
      <c r="X299" s="110">
        <v>1</v>
      </c>
      <c r="Y299" s="115">
        <f t="shared" si="21"/>
        <v>15.436671257019039</v>
      </c>
      <c r="Z299" s="115" t="str">
        <f t="shared" si="22"/>
        <v/>
      </c>
    </row>
    <row r="300" spans="1:26" s="30" customFormat="1" ht="16" customHeight="1" x14ac:dyDescent="0.2">
      <c r="A300" s="30" t="s">
        <v>860</v>
      </c>
      <c r="B300" s="30" t="s">
        <v>867</v>
      </c>
      <c r="C300" s="31" t="s">
        <v>868</v>
      </c>
      <c r="D300" s="31" t="s">
        <v>869</v>
      </c>
      <c r="E300" s="31"/>
      <c r="I300" s="71" t="s">
        <v>40</v>
      </c>
      <c r="J300" s="71" t="s">
        <v>185</v>
      </c>
      <c r="K300" s="71"/>
      <c r="L300" s="71"/>
      <c r="M300" s="71"/>
      <c r="N300" s="71"/>
      <c r="O300" s="71"/>
      <c r="P300" s="71"/>
      <c r="U300" s="30" t="s">
        <v>52</v>
      </c>
      <c r="W300" s="130">
        <v>12.4080867767334</v>
      </c>
      <c r="X300" s="110">
        <v>1</v>
      </c>
      <c r="Y300" s="115">
        <f t="shared" si="21"/>
        <v>12.4080867767334</v>
      </c>
      <c r="Z300" s="115" t="str">
        <f t="shared" si="22"/>
        <v/>
      </c>
    </row>
    <row r="301" spans="1:26" s="30" customFormat="1" ht="16" customHeight="1" x14ac:dyDescent="0.2">
      <c r="A301" s="30" t="s">
        <v>860</v>
      </c>
      <c r="B301" s="30" t="s">
        <v>870</v>
      </c>
      <c r="C301" s="31" t="s">
        <v>871</v>
      </c>
      <c r="D301" s="31" t="s">
        <v>872</v>
      </c>
      <c r="E301" s="31"/>
      <c r="I301" s="71" t="s">
        <v>40</v>
      </c>
      <c r="J301" s="71" t="s">
        <v>185</v>
      </c>
      <c r="K301" s="71"/>
      <c r="L301" s="71"/>
      <c r="M301" s="71"/>
      <c r="N301" s="71"/>
      <c r="O301" s="71"/>
      <c r="P301" s="71"/>
      <c r="U301" s="30" t="s">
        <v>52</v>
      </c>
      <c r="W301" s="130">
        <v>9.2894678115844727</v>
      </c>
      <c r="X301" s="110">
        <v>1</v>
      </c>
      <c r="Y301" s="115">
        <f t="shared" si="21"/>
        <v>9.2894678115844727</v>
      </c>
      <c r="Z301" s="115" t="str">
        <f t="shared" si="22"/>
        <v/>
      </c>
    </row>
    <row r="302" spans="1:26" s="30" customFormat="1" ht="32" customHeight="1" x14ac:dyDescent="0.2">
      <c r="A302" s="30" t="s">
        <v>860</v>
      </c>
      <c r="B302" s="30" t="s">
        <v>873</v>
      </c>
      <c r="C302" s="31" t="s">
        <v>874</v>
      </c>
      <c r="D302" s="31" t="s">
        <v>875</v>
      </c>
      <c r="E302" s="31"/>
      <c r="I302" s="71" t="s">
        <v>40</v>
      </c>
      <c r="J302" s="71" t="s">
        <v>185</v>
      </c>
      <c r="K302" s="71"/>
      <c r="L302" s="71"/>
      <c r="M302" s="71"/>
      <c r="N302" s="71"/>
      <c r="O302" s="71"/>
      <c r="P302" s="71"/>
      <c r="U302" s="30" t="s">
        <v>52</v>
      </c>
      <c r="W302" s="130">
        <v>14.41095890410959</v>
      </c>
      <c r="X302" s="110">
        <v>1</v>
      </c>
      <c r="Y302" s="115">
        <f t="shared" si="21"/>
        <v>14.41095890410959</v>
      </c>
      <c r="Z302" s="115" t="str">
        <f t="shared" si="22"/>
        <v/>
      </c>
    </row>
    <row r="303" spans="1:26" s="30" customFormat="1" ht="16" customHeight="1" x14ac:dyDescent="0.2">
      <c r="A303" s="30" t="s">
        <v>860</v>
      </c>
      <c r="B303" s="30" t="s">
        <v>876</v>
      </c>
      <c r="C303" s="31" t="s">
        <v>877</v>
      </c>
      <c r="D303" s="31" t="s">
        <v>878</v>
      </c>
      <c r="E303" s="31"/>
      <c r="I303" s="71" t="s">
        <v>40</v>
      </c>
      <c r="J303" s="71" t="s">
        <v>185</v>
      </c>
      <c r="K303" s="71"/>
      <c r="L303" s="71"/>
      <c r="M303" s="71"/>
      <c r="N303" s="71"/>
      <c r="O303" s="71"/>
      <c r="P303" s="71"/>
      <c r="U303" s="30" t="s">
        <v>52</v>
      </c>
      <c r="W303" s="130">
        <v>15.543986320495611</v>
      </c>
      <c r="X303" s="110">
        <v>1</v>
      </c>
      <c r="Y303" s="115">
        <f t="shared" si="21"/>
        <v>15.543986320495611</v>
      </c>
      <c r="Z303" s="115" t="str">
        <f t="shared" si="22"/>
        <v/>
      </c>
    </row>
    <row r="304" spans="1:26" s="30" customFormat="1" ht="32" customHeight="1" x14ac:dyDescent="0.2">
      <c r="A304" s="30" t="s">
        <v>860</v>
      </c>
      <c r="B304" s="30" t="s">
        <v>879</v>
      </c>
      <c r="C304" s="31" t="s">
        <v>880</v>
      </c>
      <c r="D304" s="31" t="s">
        <v>881</v>
      </c>
      <c r="E304" s="31"/>
      <c r="I304" s="71" t="s">
        <v>40</v>
      </c>
      <c r="J304" s="71" t="s">
        <v>185</v>
      </c>
      <c r="K304" s="71"/>
      <c r="L304" s="71"/>
      <c r="M304" s="71"/>
      <c r="N304" s="71"/>
      <c r="O304" s="71"/>
      <c r="P304" s="71"/>
      <c r="U304" s="30" t="s">
        <v>52</v>
      </c>
      <c r="W304" s="130">
        <v>12.996181488037109</v>
      </c>
      <c r="X304" s="110">
        <v>1</v>
      </c>
      <c r="Y304" s="115">
        <f t="shared" ref="Y304:Y335" si="23">IF(W304&lt;&gt;"",W304*X304,"")</f>
        <v>12.996181488037109</v>
      </c>
      <c r="Z304" s="115" t="str">
        <f t="shared" si="22"/>
        <v/>
      </c>
    </row>
    <row r="305" spans="1:26" s="30" customFormat="1" ht="16" customHeight="1" x14ac:dyDescent="0.2">
      <c r="A305" s="30" t="s">
        <v>860</v>
      </c>
      <c r="B305" s="30" t="s">
        <v>882</v>
      </c>
      <c r="C305" s="31" t="s">
        <v>883</v>
      </c>
      <c r="D305" s="31" t="s">
        <v>884</v>
      </c>
      <c r="E305" s="31"/>
      <c r="I305" s="71" t="s">
        <v>40</v>
      </c>
      <c r="J305" s="71" t="s">
        <v>185</v>
      </c>
      <c r="K305" s="71"/>
      <c r="L305" s="71"/>
      <c r="M305" s="71"/>
      <c r="N305" s="71"/>
      <c r="O305" s="71"/>
      <c r="P305" s="71"/>
      <c r="U305" s="30" t="s">
        <v>52</v>
      </c>
      <c r="W305" s="130">
        <v>10.668112754821779</v>
      </c>
      <c r="X305" s="110">
        <v>1</v>
      </c>
      <c r="Y305" s="115">
        <f t="shared" si="23"/>
        <v>10.668112754821779</v>
      </c>
      <c r="Z305" s="115" t="str">
        <f t="shared" si="22"/>
        <v/>
      </c>
    </row>
    <row r="306" spans="1:26" s="30" customFormat="1" ht="16" customHeight="1" x14ac:dyDescent="0.2">
      <c r="A306" s="30" t="s">
        <v>860</v>
      </c>
      <c r="B306" s="30" t="s">
        <v>885</v>
      </c>
      <c r="C306" s="31" t="s">
        <v>886</v>
      </c>
      <c r="D306" s="31" t="s">
        <v>887</v>
      </c>
      <c r="E306" s="31"/>
      <c r="I306" s="71" t="s">
        <v>40</v>
      </c>
      <c r="J306" s="71" t="s">
        <v>185</v>
      </c>
      <c r="K306" s="71"/>
      <c r="L306" s="71"/>
      <c r="M306" s="71"/>
      <c r="N306" s="71"/>
      <c r="O306" s="71"/>
      <c r="P306" s="71"/>
      <c r="U306" s="30" t="s">
        <v>52</v>
      </c>
      <c r="W306" s="130">
        <v>9.716710090637207</v>
      </c>
      <c r="X306" s="110">
        <v>1</v>
      </c>
      <c r="Y306" s="115">
        <f t="shared" si="23"/>
        <v>9.716710090637207</v>
      </c>
      <c r="Z306" s="115" t="str">
        <f t="shared" si="22"/>
        <v/>
      </c>
    </row>
    <row r="307" spans="1:26" s="30" customFormat="1" ht="32" customHeight="1" x14ac:dyDescent="0.2">
      <c r="A307" s="30" t="s">
        <v>860</v>
      </c>
      <c r="B307" s="30" t="s">
        <v>888</v>
      </c>
      <c r="C307" s="31" t="s">
        <v>889</v>
      </c>
      <c r="D307" s="299" t="s">
        <v>890</v>
      </c>
      <c r="E307" s="31"/>
      <c r="I307" s="71" t="s">
        <v>40</v>
      </c>
      <c r="J307" s="71" t="s">
        <v>185</v>
      </c>
      <c r="K307" s="71"/>
      <c r="L307" s="71"/>
      <c r="M307" s="71"/>
      <c r="N307" s="71"/>
      <c r="O307" s="71"/>
      <c r="P307" s="71"/>
      <c r="U307" s="30" t="s">
        <v>52</v>
      </c>
      <c r="W307" s="130">
        <v>10.953365325927731</v>
      </c>
      <c r="X307" s="110">
        <v>1</v>
      </c>
      <c r="Y307" s="115">
        <f t="shared" si="23"/>
        <v>10.953365325927731</v>
      </c>
      <c r="Z307" s="115" t="str">
        <f t="shared" si="22"/>
        <v/>
      </c>
    </row>
    <row r="308" spans="1:26" x14ac:dyDescent="0.2">
      <c r="A308" s="30" t="s">
        <v>118</v>
      </c>
      <c r="B308" s="30"/>
      <c r="C308" s="31"/>
      <c r="D308" s="31"/>
      <c r="E308" s="41"/>
      <c r="H308" s="42"/>
      <c r="I308" s="71"/>
      <c r="W308" s="126"/>
      <c r="X308" s="61">
        <v>1</v>
      </c>
      <c r="Y308" s="112" t="str">
        <f t="shared" si="23"/>
        <v/>
      </c>
      <c r="Z308" s="112" t="str">
        <f t="shared" si="22"/>
        <v/>
      </c>
    </row>
    <row r="309" spans="1:26" x14ac:dyDescent="0.2">
      <c r="A309" s="29"/>
      <c r="B309" s="29"/>
      <c r="E309" s="41"/>
      <c r="H309" s="42"/>
      <c r="W309" s="126"/>
      <c r="X309" s="61">
        <v>1</v>
      </c>
      <c r="Y309" s="112" t="str">
        <f t="shared" si="23"/>
        <v/>
      </c>
      <c r="Z309" s="112" t="str">
        <f t="shared" si="22"/>
        <v/>
      </c>
    </row>
    <row r="310" spans="1:26" ht="16" customHeight="1" x14ac:dyDescent="0.2">
      <c r="A310" s="33" t="s">
        <v>61</v>
      </c>
      <c r="B310" s="33" t="s">
        <v>891</v>
      </c>
      <c r="C310" s="47" t="s">
        <v>892</v>
      </c>
      <c r="D310" s="47" t="s">
        <v>892</v>
      </c>
      <c r="E310" s="41"/>
      <c r="F310" s="28"/>
      <c r="G310" s="28"/>
      <c r="H310" s="42"/>
      <c r="I310" s="70"/>
      <c r="J310" s="70"/>
      <c r="K310" s="70"/>
      <c r="L310" s="70"/>
      <c r="M310" s="70"/>
      <c r="N310" s="70"/>
      <c r="O310" s="70"/>
      <c r="P310" s="70"/>
      <c r="W310" s="126"/>
      <c r="X310" s="61">
        <v>1</v>
      </c>
      <c r="Y310" s="112" t="str">
        <f t="shared" si="23"/>
        <v/>
      </c>
      <c r="Z310" s="112" t="str">
        <f t="shared" si="22"/>
        <v/>
      </c>
    </row>
    <row r="311" spans="1:26" ht="32" customHeight="1" x14ac:dyDescent="0.2">
      <c r="A311" s="28" t="s">
        <v>45</v>
      </c>
      <c r="B311" s="28" t="s">
        <v>893</v>
      </c>
      <c r="C311" s="19" t="s">
        <v>894</v>
      </c>
      <c r="D311" s="19" t="s">
        <v>895</v>
      </c>
      <c r="E311" s="41"/>
      <c r="F311" s="28"/>
      <c r="G311" s="28"/>
      <c r="H311" s="42"/>
      <c r="I311" s="70" t="s">
        <v>51</v>
      </c>
      <c r="J311" s="70"/>
      <c r="K311" s="70"/>
      <c r="L311" s="70"/>
      <c r="M311" s="70"/>
      <c r="N311" s="70"/>
      <c r="O311" s="70"/>
      <c r="P311" s="70"/>
      <c r="U311" s="20" t="s">
        <v>42</v>
      </c>
      <c r="W311" s="126"/>
      <c r="X311" s="61">
        <v>1</v>
      </c>
      <c r="Y311" s="112" t="str">
        <f t="shared" si="23"/>
        <v/>
      </c>
      <c r="Z311" s="112" t="str">
        <f t="shared" si="22"/>
        <v/>
      </c>
    </row>
    <row r="312" spans="1:26" ht="48" customHeight="1" x14ac:dyDescent="0.2">
      <c r="A312" s="28" t="s">
        <v>896</v>
      </c>
      <c r="B312" s="28" t="s">
        <v>897</v>
      </c>
      <c r="C312" s="19" t="s">
        <v>898</v>
      </c>
      <c r="D312" s="19" t="s">
        <v>899</v>
      </c>
      <c r="E312" s="41"/>
      <c r="F312" s="28" t="s">
        <v>900</v>
      </c>
      <c r="G312" s="28" t="s">
        <v>901</v>
      </c>
      <c r="H312" s="42"/>
      <c r="I312" s="70" t="s">
        <v>40</v>
      </c>
      <c r="J312" s="70"/>
      <c r="K312" s="70"/>
      <c r="L312" s="70"/>
      <c r="M312" s="70"/>
      <c r="N312" s="70"/>
      <c r="O312" s="70"/>
      <c r="P312" s="70"/>
      <c r="U312" s="20" t="s">
        <v>42</v>
      </c>
      <c r="W312" s="126">
        <v>72.295135498046875</v>
      </c>
      <c r="X312" s="61">
        <v>1</v>
      </c>
      <c r="Y312" s="112">
        <f t="shared" si="23"/>
        <v>72.295135498046875</v>
      </c>
      <c r="Z312" s="112">
        <f t="shared" si="22"/>
        <v>72.295135498046875</v>
      </c>
    </row>
    <row r="313" spans="1:26" ht="64" customHeight="1" x14ac:dyDescent="0.2">
      <c r="A313" s="28" t="s">
        <v>45</v>
      </c>
      <c r="B313" s="28" t="s">
        <v>902</v>
      </c>
      <c r="C313" s="19" t="s">
        <v>903</v>
      </c>
      <c r="D313" s="21" t="s">
        <v>904</v>
      </c>
      <c r="E313" s="41"/>
      <c r="F313" s="28"/>
      <c r="G313" s="28"/>
      <c r="H313" s="42"/>
      <c r="I313" s="70" t="s">
        <v>51</v>
      </c>
      <c r="J313" s="70"/>
      <c r="K313" s="70"/>
      <c r="L313" s="70"/>
      <c r="M313" s="70"/>
      <c r="N313" s="70"/>
      <c r="O313" s="70"/>
      <c r="P313" s="70"/>
      <c r="U313" s="20" t="s">
        <v>42</v>
      </c>
      <c r="W313" s="126">
        <v>3.7052218914031978</v>
      </c>
      <c r="X313" s="61">
        <v>1</v>
      </c>
      <c r="Y313" s="112">
        <f t="shared" si="23"/>
        <v>3.7052218914031978</v>
      </c>
      <c r="Z313" s="112">
        <f t="shared" si="22"/>
        <v>3.7052218914031978</v>
      </c>
    </row>
    <row r="314" spans="1:26" ht="16" customHeight="1" x14ac:dyDescent="0.2">
      <c r="A314" s="28" t="s">
        <v>118</v>
      </c>
      <c r="B314" s="28"/>
      <c r="C314" s="19"/>
      <c r="D314" s="19"/>
      <c r="E314" s="41"/>
      <c r="F314" s="28"/>
      <c r="G314" s="28"/>
      <c r="H314" s="42"/>
      <c r="I314" s="70"/>
      <c r="J314" s="70"/>
      <c r="K314" s="70"/>
      <c r="L314" s="70"/>
      <c r="M314" s="70"/>
      <c r="N314" s="70"/>
      <c r="O314" s="70"/>
      <c r="P314" s="70"/>
      <c r="W314" s="126"/>
      <c r="X314" s="61">
        <v>1</v>
      </c>
      <c r="Y314" s="112" t="str">
        <f t="shared" si="23"/>
        <v/>
      </c>
      <c r="Z314" s="112" t="str">
        <f t="shared" si="22"/>
        <v/>
      </c>
    </row>
    <row r="315" spans="1:26" x14ac:dyDescent="0.2">
      <c r="A315" s="29"/>
      <c r="B315" s="29"/>
      <c r="E315" s="41"/>
      <c r="H315" s="42"/>
      <c r="W315" s="126"/>
      <c r="X315" s="61">
        <v>1</v>
      </c>
      <c r="Y315" s="112" t="str">
        <f t="shared" si="23"/>
        <v/>
      </c>
      <c r="Z315" s="112" t="str">
        <f t="shared" si="22"/>
        <v/>
      </c>
    </row>
    <row r="316" spans="1:26" s="30" customFormat="1" ht="16" customHeight="1" x14ac:dyDescent="0.2">
      <c r="A316" s="30" t="s">
        <v>61</v>
      </c>
      <c r="B316" s="30" t="s">
        <v>905</v>
      </c>
      <c r="C316" s="109" t="s">
        <v>906</v>
      </c>
      <c r="D316" s="109" t="s">
        <v>906</v>
      </c>
      <c r="E316" s="32"/>
      <c r="H316" s="36"/>
      <c r="I316" s="71"/>
      <c r="J316" s="71"/>
      <c r="K316" s="71"/>
      <c r="L316" s="71"/>
      <c r="M316" s="71"/>
      <c r="N316" s="71"/>
      <c r="O316" s="71"/>
      <c r="P316" s="71"/>
      <c r="U316" s="30" t="s">
        <v>52</v>
      </c>
      <c r="W316" s="126"/>
      <c r="X316" s="61">
        <v>1</v>
      </c>
      <c r="Y316" s="112" t="str">
        <f t="shared" si="23"/>
        <v/>
      </c>
      <c r="Z316" s="112" t="str">
        <f t="shared" si="22"/>
        <v/>
      </c>
    </row>
    <row r="317" spans="1:26" s="30" customFormat="1" ht="48" customHeight="1" x14ac:dyDescent="0.2">
      <c r="A317" s="30" t="s">
        <v>45</v>
      </c>
      <c r="B317" s="30" t="s">
        <v>907</v>
      </c>
      <c r="C317" s="31" t="s">
        <v>908</v>
      </c>
      <c r="D317" s="31" t="s">
        <v>909</v>
      </c>
      <c r="E317" s="32"/>
      <c r="H317" s="36"/>
      <c r="I317" s="71" t="s">
        <v>51</v>
      </c>
      <c r="J317" s="71"/>
      <c r="K317" s="71"/>
      <c r="L317" s="71"/>
      <c r="M317" s="71"/>
      <c r="N317" s="71"/>
      <c r="O317" s="71"/>
      <c r="P317" s="71"/>
      <c r="U317" s="30" t="s">
        <v>52</v>
      </c>
      <c r="W317" s="126">
        <v>17</v>
      </c>
      <c r="X317" s="61">
        <v>1</v>
      </c>
      <c r="Y317" s="112">
        <f t="shared" si="23"/>
        <v>17</v>
      </c>
      <c r="Z317" s="112" t="str">
        <f t="shared" si="22"/>
        <v/>
      </c>
    </row>
    <row r="318" spans="1:26" s="30" customFormat="1" ht="32" customHeight="1" x14ac:dyDescent="0.2">
      <c r="A318" s="30" t="s">
        <v>77</v>
      </c>
      <c r="B318" s="30" t="s">
        <v>910</v>
      </c>
      <c r="C318" s="31" t="s">
        <v>911</v>
      </c>
      <c r="D318" s="31" t="s">
        <v>912</v>
      </c>
      <c r="E318" s="32"/>
      <c r="F318" s="30" t="s">
        <v>913</v>
      </c>
      <c r="G318" s="30" t="s">
        <v>914</v>
      </c>
      <c r="H318" s="36"/>
      <c r="I318" s="71" t="s">
        <v>40</v>
      </c>
      <c r="J318" s="71"/>
      <c r="K318" s="71" t="s">
        <v>915</v>
      </c>
      <c r="L318" s="71" t="s">
        <v>916</v>
      </c>
      <c r="M318" s="71"/>
      <c r="N318" s="71"/>
      <c r="O318" s="71"/>
      <c r="P318" s="71"/>
      <c r="U318" s="30" t="s">
        <v>52</v>
      </c>
      <c r="W318" s="126">
        <v>17</v>
      </c>
      <c r="X318" s="61">
        <v>1</v>
      </c>
      <c r="Y318" s="112">
        <f t="shared" si="23"/>
        <v>17</v>
      </c>
      <c r="Z318" s="112" t="str">
        <f t="shared" si="22"/>
        <v/>
      </c>
    </row>
    <row r="319" spans="1:26" s="30" customFormat="1" ht="48" customHeight="1" x14ac:dyDescent="0.2">
      <c r="A319" s="30" t="s">
        <v>77</v>
      </c>
      <c r="B319" s="30" t="s">
        <v>917</v>
      </c>
      <c r="C319" s="31" t="s">
        <v>918</v>
      </c>
      <c r="D319" s="31" t="s">
        <v>919</v>
      </c>
      <c r="E319" s="32"/>
      <c r="F319" s="30" t="s">
        <v>913</v>
      </c>
      <c r="G319" s="30" t="s">
        <v>914</v>
      </c>
      <c r="H319" s="36"/>
      <c r="I319" s="71" t="s">
        <v>40</v>
      </c>
      <c r="J319" s="71"/>
      <c r="K319" s="71" t="s">
        <v>915</v>
      </c>
      <c r="L319" s="71" t="s">
        <v>916</v>
      </c>
      <c r="M319" s="71"/>
      <c r="N319" s="71"/>
      <c r="O319" s="71"/>
      <c r="P319" s="71"/>
      <c r="U319" s="30" t="s">
        <v>52</v>
      </c>
      <c r="W319" s="126">
        <v>17</v>
      </c>
      <c r="X319" s="61">
        <v>1</v>
      </c>
      <c r="Y319" s="112">
        <f t="shared" si="23"/>
        <v>17</v>
      </c>
      <c r="Z319" s="112" t="str">
        <f t="shared" si="22"/>
        <v/>
      </c>
    </row>
    <row r="320" spans="1:26" s="30" customFormat="1" ht="48" customHeight="1" x14ac:dyDescent="0.2">
      <c r="A320" s="30" t="s">
        <v>77</v>
      </c>
      <c r="B320" s="30" t="s">
        <v>920</v>
      </c>
      <c r="C320" s="31" t="s">
        <v>921</v>
      </c>
      <c r="D320" s="31" t="s">
        <v>922</v>
      </c>
      <c r="E320" s="32"/>
      <c r="F320" s="30" t="s">
        <v>913</v>
      </c>
      <c r="G320" s="30" t="s">
        <v>914</v>
      </c>
      <c r="H320" s="36"/>
      <c r="I320" s="71" t="s">
        <v>40</v>
      </c>
      <c r="J320" s="71"/>
      <c r="K320" s="71" t="s">
        <v>915</v>
      </c>
      <c r="L320" s="71" t="s">
        <v>916</v>
      </c>
      <c r="M320" s="71"/>
      <c r="N320" s="71"/>
      <c r="O320" s="71"/>
      <c r="P320" s="71"/>
      <c r="U320" s="30" t="s">
        <v>52</v>
      </c>
      <c r="W320" s="126">
        <v>17</v>
      </c>
      <c r="X320" s="61">
        <v>1</v>
      </c>
      <c r="Y320" s="112">
        <f t="shared" si="23"/>
        <v>17</v>
      </c>
      <c r="Z320" s="112" t="str">
        <f t="shared" si="22"/>
        <v/>
      </c>
    </row>
    <row r="321" spans="1:27" s="30" customFormat="1" ht="48" customHeight="1" x14ac:dyDescent="0.2">
      <c r="A321" s="30" t="s">
        <v>77</v>
      </c>
      <c r="B321" s="30" t="s">
        <v>923</v>
      </c>
      <c r="C321" s="31" t="s">
        <v>924</v>
      </c>
      <c r="D321" s="31" t="s">
        <v>925</v>
      </c>
      <c r="E321" s="32"/>
      <c r="F321" s="30" t="s">
        <v>913</v>
      </c>
      <c r="G321" s="30" t="s">
        <v>914</v>
      </c>
      <c r="H321" s="36"/>
      <c r="I321" s="71" t="s">
        <v>40</v>
      </c>
      <c r="J321" s="71"/>
      <c r="K321" s="71" t="s">
        <v>915</v>
      </c>
      <c r="L321" s="71" t="s">
        <v>916</v>
      </c>
      <c r="M321" s="71"/>
      <c r="N321" s="71"/>
      <c r="O321" s="71"/>
      <c r="P321" s="71"/>
      <c r="U321" s="30" t="s">
        <v>52</v>
      </c>
      <c r="W321" s="126">
        <v>17</v>
      </c>
      <c r="X321" s="61">
        <v>1</v>
      </c>
      <c r="Y321" s="112">
        <f t="shared" si="23"/>
        <v>17</v>
      </c>
      <c r="Z321" s="112" t="str">
        <f t="shared" si="22"/>
        <v/>
      </c>
    </row>
    <row r="322" spans="1:27" s="30" customFormat="1" ht="48" customHeight="1" x14ac:dyDescent="0.2">
      <c r="A322" s="30" t="s">
        <v>77</v>
      </c>
      <c r="B322" s="30" t="s">
        <v>926</v>
      </c>
      <c r="C322" s="31" t="s">
        <v>927</v>
      </c>
      <c r="D322" s="31" t="s">
        <v>928</v>
      </c>
      <c r="E322" s="32"/>
      <c r="F322" s="30" t="s">
        <v>913</v>
      </c>
      <c r="G322" s="30" t="s">
        <v>914</v>
      </c>
      <c r="H322" s="36"/>
      <c r="I322" s="71" t="s">
        <v>40</v>
      </c>
      <c r="J322" s="71"/>
      <c r="K322" s="71" t="s">
        <v>915</v>
      </c>
      <c r="L322" s="71" t="s">
        <v>916</v>
      </c>
      <c r="M322" s="71"/>
      <c r="N322" s="71"/>
      <c r="O322" s="71"/>
      <c r="P322" s="71"/>
      <c r="U322" s="30" t="s">
        <v>52</v>
      </c>
      <c r="W322" s="126">
        <v>17</v>
      </c>
      <c r="X322" s="61">
        <v>1</v>
      </c>
      <c r="Y322" s="112">
        <f t="shared" si="23"/>
        <v>17</v>
      </c>
      <c r="Z322" s="112" t="str">
        <f t="shared" si="22"/>
        <v/>
      </c>
    </row>
    <row r="323" spans="1:27" s="30" customFormat="1" x14ac:dyDescent="0.2">
      <c r="C323" s="31"/>
      <c r="D323" s="31"/>
      <c r="E323" s="32"/>
      <c r="H323" s="36"/>
      <c r="I323" s="71"/>
      <c r="J323" s="71"/>
      <c r="K323" s="71"/>
      <c r="L323" s="71"/>
      <c r="M323" s="71"/>
      <c r="N323" s="71"/>
      <c r="O323" s="71"/>
      <c r="P323" s="71"/>
      <c r="W323" s="126"/>
      <c r="X323" s="61"/>
      <c r="Y323" s="112"/>
      <c r="Z323" s="112"/>
    </row>
    <row r="324" spans="1:27" ht="16" customHeight="1" thickBot="1" x14ac:dyDescent="0.25">
      <c r="A324" s="54" t="s">
        <v>118</v>
      </c>
      <c r="B324" s="54"/>
      <c r="C324" s="55"/>
      <c r="D324" s="55"/>
      <c r="E324" s="62"/>
      <c r="F324" s="54"/>
      <c r="G324" s="54"/>
      <c r="H324" s="63"/>
      <c r="I324" s="83"/>
      <c r="J324" s="83"/>
      <c r="K324" s="83"/>
      <c r="L324" s="83"/>
      <c r="M324" s="83"/>
      <c r="N324" s="83"/>
      <c r="O324" s="83"/>
      <c r="P324" s="83"/>
      <c r="W324" s="126"/>
      <c r="Y324" s="112" t="str">
        <f t="shared" ref="Y324:Y329" si="24">IF(W324&lt;&gt;"",W324*X324,"")</f>
        <v/>
      </c>
      <c r="Z324" s="112" t="str">
        <f t="shared" ref="Z324:Z329" si="25">IF(AND(W324&lt;&gt;"",U324="yes"),W324*X324,"")</f>
        <v/>
      </c>
    </row>
    <row r="325" spans="1:27" s="26" customFormat="1" ht="15" customHeight="1" x14ac:dyDescent="0.2">
      <c r="A325" s="23" t="s">
        <v>61</v>
      </c>
      <c r="B325" s="23" t="s">
        <v>929</v>
      </c>
      <c r="C325" s="47" t="s">
        <v>930</v>
      </c>
      <c r="D325" s="47" t="s">
        <v>930</v>
      </c>
      <c r="E325" s="24"/>
      <c r="F325" s="23"/>
      <c r="G325" s="23"/>
      <c r="H325" s="25"/>
      <c r="I325" s="75" t="s">
        <v>51</v>
      </c>
      <c r="J325" s="75"/>
      <c r="K325" s="75"/>
      <c r="L325" s="75"/>
      <c r="M325" s="75" t="s">
        <v>741</v>
      </c>
      <c r="N325" s="75"/>
      <c r="O325" s="75"/>
      <c r="P325" s="75"/>
      <c r="U325" s="20" t="s">
        <v>42</v>
      </c>
      <c r="W325" s="126"/>
      <c r="X325" s="27"/>
      <c r="Y325" s="112" t="str">
        <f t="shared" si="24"/>
        <v/>
      </c>
      <c r="Z325" s="112" t="str">
        <f t="shared" si="25"/>
        <v/>
      </c>
      <c r="AA325" s="27"/>
    </row>
    <row r="326" spans="1:27" s="26" customFormat="1" ht="15" customHeight="1" x14ac:dyDescent="0.2">
      <c r="C326" s="48"/>
      <c r="D326" s="48"/>
      <c r="E326" s="24"/>
      <c r="H326" s="25"/>
      <c r="I326" s="76"/>
      <c r="J326" s="76"/>
      <c r="K326" s="76"/>
      <c r="L326" s="76"/>
      <c r="M326" s="76"/>
      <c r="N326" s="76"/>
      <c r="O326" s="76"/>
      <c r="P326" s="76"/>
      <c r="U326" s="20"/>
      <c r="W326" s="126"/>
      <c r="X326" s="61">
        <v>1</v>
      </c>
      <c r="Y326" s="112" t="str">
        <f t="shared" si="24"/>
        <v/>
      </c>
      <c r="Z326" s="112" t="str">
        <f t="shared" si="25"/>
        <v/>
      </c>
      <c r="AA326" s="27"/>
    </row>
    <row r="327" spans="1:27" ht="48" customHeight="1" x14ac:dyDescent="0.2">
      <c r="A327" s="28" t="s">
        <v>102</v>
      </c>
      <c r="B327" s="28" t="s">
        <v>931</v>
      </c>
      <c r="C327" s="19" t="s">
        <v>932</v>
      </c>
      <c r="D327" s="294" t="s">
        <v>933</v>
      </c>
      <c r="E327" s="41"/>
      <c r="F327" s="28"/>
      <c r="G327" s="28"/>
      <c r="H327" s="42"/>
      <c r="I327" s="70" t="s">
        <v>40</v>
      </c>
      <c r="J327" s="70"/>
      <c r="K327" s="70"/>
      <c r="L327" s="70"/>
      <c r="M327" s="70"/>
      <c r="N327" s="70"/>
      <c r="O327" s="70"/>
      <c r="P327" s="70"/>
      <c r="U327" s="20" t="s">
        <v>42</v>
      </c>
      <c r="W327" s="126">
        <v>19.828245162963871</v>
      </c>
      <c r="X327" s="61">
        <v>1</v>
      </c>
      <c r="Y327" s="112">
        <f t="shared" si="24"/>
        <v>19.828245162963871</v>
      </c>
      <c r="Z327" s="112">
        <f t="shared" si="25"/>
        <v>19.828245162963871</v>
      </c>
    </row>
    <row r="328" spans="1:27" ht="64" customHeight="1" x14ac:dyDescent="0.2">
      <c r="A328" s="28" t="s">
        <v>934</v>
      </c>
      <c r="B328" s="28" t="s">
        <v>935</v>
      </c>
      <c r="C328" s="19" t="s">
        <v>936</v>
      </c>
      <c r="D328" s="294" t="s">
        <v>937</v>
      </c>
      <c r="E328" s="41"/>
      <c r="F328" s="28" t="s">
        <v>938</v>
      </c>
      <c r="G328" s="33" t="s">
        <v>939</v>
      </c>
      <c r="H328" s="42"/>
      <c r="I328" s="70" t="s">
        <v>40</v>
      </c>
      <c r="J328" s="70"/>
      <c r="K328" s="72" t="s">
        <v>591</v>
      </c>
      <c r="L328" s="70"/>
      <c r="M328" s="70" t="s">
        <v>940</v>
      </c>
      <c r="N328" s="70"/>
      <c r="O328" s="70"/>
      <c r="P328" s="70"/>
      <c r="U328" s="20" t="s">
        <v>42</v>
      </c>
      <c r="W328" s="126">
        <v>49.529693603515618</v>
      </c>
      <c r="X328" s="61">
        <v>1</v>
      </c>
      <c r="Y328" s="112">
        <f t="shared" si="24"/>
        <v>49.529693603515618</v>
      </c>
      <c r="Z328" s="112">
        <f t="shared" si="25"/>
        <v>49.529693603515618</v>
      </c>
    </row>
    <row r="329" spans="1:27" ht="16" customHeight="1" x14ac:dyDescent="0.2">
      <c r="A329" s="28" t="s">
        <v>66</v>
      </c>
      <c r="B329" s="28" t="s">
        <v>941</v>
      </c>
      <c r="C329" s="34" t="s">
        <v>353</v>
      </c>
      <c r="D329" s="19" t="s">
        <v>373</v>
      </c>
      <c r="E329" s="51"/>
      <c r="F329" s="29" t="s">
        <v>374</v>
      </c>
      <c r="G329" s="29" t="s">
        <v>701</v>
      </c>
      <c r="H329" s="42"/>
      <c r="I329" s="70" t="s">
        <v>40</v>
      </c>
      <c r="J329" s="70"/>
      <c r="K329" s="70"/>
      <c r="L329" s="70"/>
      <c r="M329" s="70" t="s">
        <v>942</v>
      </c>
      <c r="N329" s="70"/>
      <c r="O329" s="70"/>
      <c r="P329" s="70"/>
      <c r="U329" s="20" t="s">
        <v>42</v>
      </c>
      <c r="W329" s="126"/>
      <c r="X329" s="61">
        <v>1</v>
      </c>
      <c r="Y329" s="112" t="str">
        <f t="shared" si="24"/>
        <v/>
      </c>
      <c r="Z329" s="112" t="str">
        <f t="shared" si="25"/>
        <v/>
      </c>
    </row>
    <row r="331" spans="1:27" s="29" customFormat="1" ht="32" customHeight="1" x14ac:dyDescent="0.2">
      <c r="A331" s="33" t="s">
        <v>943</v>
      </c>
      <c r="B331" s="33" t="s">
        <v>944</v>
      </c>
      <c r="C331" s="34" t="s">
        <v>945</v>
      </c>
      <c r="D331" s="19" t="s">
        <v>946</v>
      </c>
      <c r="E331" s="51"/>
      <c r="F331" s="33" t="s">
        <v>947</v>
      </c>
      <c r="G331" s="33" t="s">
        <v>948</v>
      </c>
      <c r="H331" s="53"/>
      <c r="I331" s="72" t="s">
        <v>40</v>
      </c>
      <c r="J331" s="72"/>
      <c r="K331" s="72" t="s">
        <v>949</v>
      </c>
      <c r="L331" s="72"/>
      <c r="M331" s="72"/>
      <c r="N331" s="72"/>
      <c r="O331" s="72"/>
      <c r="P331" s="72"/>
      <c r="U331" s="29" t="s">
        <v>52</v>
      </c>
      <c r="W331" s="126">
        <v>22.029750823974609</v>
      </c>
      <c r="X331" s="61">
        <v>1</v>
      </c>
      <c r="Y331" s="112">
        <f>IF(W331&lt;&gt;"",W331*X331,"")</f>
        <v>22.029750823974609</v>
      </c>
      <c r="Z331" s="112" t="str">
        <f>IF(AND(W331&lt;&gt;"",U331="yes"),W331*X331,"")</f>
        <v/>
      </c>
    </row>
    <row r="332" spans="1:27" s="29" customFormat="1" ht="16" customHeight="1" x14ac:dyDescent="0.2">
      <c r="A332" s="33" t="s">
        <v>66</v>
      </c>
      <c r="B332" s="33" t="s">
        <v>950</v>
      </c>
      <c r="C332" s="34" t="s">
        <v>353</v>
      </c>
      <c r="D332" s="19" t="s">
        <v>373</v>
      </c>
      <c r="E332" s="51"/>
      <c r="F332" s="33" t="s">
        <v>374</v>
      </c>
      <c r="G332" s="29" t="s">
        <v>701</v>
      </c>
      <c r="H332" s="53"/>
      <c r="I332" s="72" t="s">
        <v>40</v>
      </c>
      <c r="J332" s="72"/>
      <c r="K332" s="72"/>
      <c r="L332" s="72"/>
      <c r="M332" s="72" t="s">
        <v>951</v>
      </c>
      <c r="N332" s="72"/>
      <c r="O332" s="72"/>
      <c r="P332" s="72"/>
      <c r="U332" s="29" t="s">
        <v>52</v>
      </c>
      <c r="W332" s="126"/>
      <c r="X332" s="61">
        <v>1</v>
      </c>
      <c r="Y332" s="112" t="str">
        <f>IF(W332&lt;&gt;"",W332*X332,"")</f>
        <v/>
      </c>
      <c r="Z332" s="112" t="str">
        <f>IF(AND(W332&lt;&gt;"",U332="yes"),W332*X332,"")</f>
        <v/>
      </c>
    </row>
    <row r="333" spans="1:27" s="29" customFormat="1" ht="16" customHeight="1" x14ac:dyDescent="0.2">
      <c r="A333" s="33" t="s">
        <v>952</v>
      </c>
      <c r="B333" s="33" t="s">
        <v>953</v>
      </c>
      <c r="C333" s="34" t="s">
        <v>954</v>
      </c>
      <c r="D333" s="19" t="s">
        <v>955</v>
      </c>
      <c r="E333" s="51"/>
      <c r="F333" s="33" t="s">
        <v>956</v>
      </c>
      <c r="G333" s="33" t="s">
        <v>957</v>
      </c>
      <c r="H333" s="53"/>
      <c r="I333" s="72" t="s">
        <v>40</v>
      </c>
      <c r="J333" s="72"/>
      <c r="K333" s="72"/>
      <c r="L333" s="72"/>
      <c r="M333" s="72" t="s">
        <v>958</v>
      </c>
      <c r="N333" s="72"/>
      <c r="O333" s="72"/>
      <c r="P333" s="72"/>
      <c r="U333" s="29" t="s">
        <v>52</v>
      </c>
      <c r="W333" s="126">
        <v>17</v>
      </c>
      <c r="X333" s="61">
        <v>1</v>
      </c>
      <c r="Y333" s="112">
        <f>IF(W333&lt;&gt;"",W333*X333,"")</f>
        <v>17</v>
      </c>
      <c r="Z333" s="112" t="str">
        <f>IF(AND(W333&lt;&gt;"",U333="yes"),W333*X333,"")</f>
        <v/>
      </c>
    </row>
    <row r="334" spans="1:27" s="30" customFormat="1" x14ac:dyDescent="0.2">
      <c r="C334" s="31"/>
      <c r="D334" s="31"/>
      <c r="E334" s="32"/>
      <c r="H334" s="36"/>
      <c r="I334" s="71"/>
      <c r="J334" s="71"/>
      <c r="K334" s="71"/>
      <c r="L334" s="71"/>
      <c r="M334" s="71"/>
      <c r="N334" s="71"/>
      <c r="O334" s="71"/>
      <c r="P334" s="71"/>
      <c r="R334" s="20"/>
      <c r="W334" s="126"/>
      <c r="X334" s="61">
        <v>1</v>
      </c>
      <c r="Y334" s="112" t="str">
        <f>IF(W334&lt;&gt;"",W334*X334,"")</f>
        <v/>
      </c>
      <c r="Z334" s="112" t="str">
        <f>IF(AND(W334&lt;&gt;"",U334="yes"),W334*X334,"")</f>
        <v/>
      </c>
      <c r="AA334" s="29"/>
    </row>
    <row r="335" spans="1:27" s="30" customFormat="1" ht="16" customHeight="1" x14ac:dyDescent="0.2">
      <c r="A335" s="30" t="s">
        <v>959</v>
      </c>
      <c r="B335" s="30" t="s">
        <v>960</v>
      </c>
      <c r="C335" s="31" t="s">
        <v>961</v>
      </c>
      <c r="D335" s="31" t="s">
        <v>962</v>
      </c>
      <c r="E335" s="32"/>
      <c r="F335" s="30" t="s">
        <v>963</v>
      </c>
      <c r="G335" s="30" t="s">
        <v>389</v>
      </c>
      <c r="H335" s="36"/>
      <c r="I335" s="71" t="s">
        <v>40</v>
      </c>
      <c r="J335" s="71"/>
      <c r="K335" s="82" t="s">
        <v>591</v>
      </c>
      <c r="L335" s="71"/>
      <c r="M335" s="82" t="s">
        <v>958</v>
      </c>
      <c r="N335" s="71"/>
      <c r="O335" s="71"/>
      <c r="P335" s="71"/>
      <c r="R335" s="20"/>
      <c r="W335" s="126"/>
      <c r="X335" s="61"/>
      <c r="Y335" s="112"/>
      <c r="Z335" s="112"/>
      <c r="AA335" s="29"/>
    </row>
    <row r="336" spans="1:27" s="30" customFormat="1" x14ac:dyDescent="0.2">
      <c r="C336" s="31"/>
      <c r="D336" s="31"/>
      <c r="E336" s="32"/>
      <c r="H336" s="36"/>
      <c r="I336" s="71"/>
      <c r="J336" s="71"/>
      <c r="K336" s="82"/>
      <c r="L336" s="71"/>
      <c r="M336" s="82"/>
      <c r="N336" s="71"/>
      <c r="O336" s="71"/>
      <c r="P336" s="71"/>
      <c r="R336" s="20"/>
      <c r="W336" s="126"/>
      <c r="X336" s="61"/>
      <c r="Y336" s="112"/>
      <c r="Z336" s="112"/>
      <c r="AA336" s="29"/>
    </row>
    <row r="337" spans="1:27" ht="16" customHeight="1" thickBot="1" x14ac:dyDescent="0.25">
      <c r="A337" s="54" t="s">
        <v>118</v>
      </c>
      <c r="B337" s="54"/>
      <c r="C337" s="55"/>
      <c r="D337" s="55"/>
      <c r="E337" s="62"/>
      <c r="F337" s="54"/>
      <c r="G337" s="54"/>
      <c r="H337" s="63"/>
      <c r="I337" s="83"/>
      <c r="J337" s="83"/>
      <c r="K337" s="83"/>
      <c r="L337" s="83"/>
      <c r="M337" s="83"/>
      <c r="N337" s="83"/>
      <c r="O337" s="83"/>
      <c r="P337" s="83"/>
      <c r="W337" s="126"/>
      <c r="Y337" s="112" t="str">
        <f t="shared" ref="Y337:Y356" si="26">IF(W337&lt;&gt;"",W337*X337,"")</f>
        <v/>
      </c>
      <c r="Z337" s="112" t="str">
        <f t="shared" ref="Z337:Z356" si="27">IF(AND(W337&lt;&gt;"",U337="yes"),W337*X337,"")</f>
        <v/>
      </c>
    </row>
    <row r="338" spans="1:27" s="26" customFormat="1" ht="17" customHeight="1" thickTop="1" x14ac:dyDescent="0.2">
      <c r="A338" s="23" t="s">
        <v>61</v>
      </c>
      <c r="B338" s="23" t="s">
        <v>964</v>
      </c>
      <c r="C338" s="47" t="s">
        <v>965</v>
      </c>
      <c r="D338" s="47" t="s">
        <v>965</v>
      </c>
      <c r="E338" s="24"/>
      <c r="F338" s="23"/>
      <c r="G338" s="23"/>
      <c r="H338" s="25"/>
      <c r="I338" s="75" t="s">
        <v>51</v>
      </c>
      <c r="J338" s="75"/>
      <c r="K338" s="75"/>
      <c r="L338" s="75"/>
      <c r="M338" s="75" t="s">
        <v>122</v>
      </c>
      <c r="N338" s="75"/>
      <c r="O338" s="75"/>
      <c r="P338" s="75"/>
      <c r="U338" s="20" t="s">
        <v>42</v>
      </c>
      <c r="W338" s="126"/>
      <c r="X338" s="111"/>
      <c r="Y338" s="112" t="str">
        <f t="shared" si="26"/>
        <v/>
      </c>
      <c r="Z338" s="112" t="str">
        <f t="shared" si="27"/>
        <v/>
      </c>
      <c r="AA338" s="27"/>
    </row>
    <row r="339" spans="1:27" s="26" customFormat="1" x14ac:dyDescent="0.2">
      <c r="C339" s="48"/>
      <c r="D339" s="48"/>
      <c r="E339" s="24"/>
      <c r="H339" s="25"/>
      <c r="I339" s="76"/>
      <c r="J339" s="76"/>
      <c r="K339" s="76"/>
      <c r="L339" s="76"/>
      <c r="M339" s="76"/>
      <c r="N339" s="76"/>
      <c r="O339" s="76"/>
      <c r="P339" s="76"/>
      <c r="U339" s="20"/>
      <c r="W339" s="126"/>
      <c r="X339" s="61">
        <v>1</v>
      </c>
      <c r="Y339" s="112" t="str">
        <f t="shared" si="26"/>
        <v/>
      </c>
      <c r="Z339" s="112" t="str">
        <f t="shared" si="27"/>
        <v/>
      </c>
      <c r="AA339" s="27"/>
    </row>
    <row r="340" spans="1:27" ht="32" customHeight="1" x14ac:dyDescent="0.2">
      <c r="A340" s="28" t="s">
        <v>53</v>
      </c>
      <c r="B340" s="28" t="s">
        <v>966</v>
      </c>
      <c r="C340" s="19" t="s">
        <v>967</v>
      </c>
      <c r="D340" s="34" t="s">
        <v>968</v>
      </c>
      <c r="E340" s="41"/>
      <c r="F340" s="28"/>
      <c r="G340" s="28"/>
      <c r="H340" s="42"/>
      <c r="I340" s="70" t="s">
        <v>40</v>
      </c>
      <c r="J340" s="70"/>
      <c r="K340" s="70"/>
      <c r="L340" s="70"/>
      <c r="M340" s="70"/>
      <c r="N340" s="70"/>
      <c r="O340" s="70"/>
      <c r="P340" s="70"/>
      <c r="U340" s="20" t="s">
        <v>42</v>
      </c>
      <c r="W340" s="126">
        <v>36.783046722412109</v>
      </c>
      <c r="X340" s="61">
        <v>1</v>
      </c>
      <c r="Y340" s="112">
        <f t="shared" si="26"/>
        <v>36.783046722412109</v>
      </c>
      <c r="Z340" s="112">
        <f t="shared" si="27"/>
        <v>36.783046722412109</v>
      </c>
    </row>
    <row r="341" spans="1:27" x14ac:dyDescent="0.2">
      <c r="D341" s="22"/>
      <c r="E341" s="41"/>
      <c r="H341" s="42"/>
      <c r="W341" s="126"/>
      <c r="X341" s="61">
        <v>1</v>
      </c>
      <c r="Y341" s="112" t="str">
        <f t="shared" si="26"/>
        <v/>
      </c>
      <c r="Z341" s="112" t="str">
        <f t="shared" si="27"/>
        <v/>
      </c>
    </row>
    <row r="342" spans="1:27" s="30" customFormat="1" ht="16" customHeight="1" x14ac:dyDescent="0.2">
      <c r="A342" s="105" t="s">
        <v>969</v>
      </c>
      <c r="B342" s="105" t="s">
        <v>970</v>
      </c>
      <c r="C342" s="121" t="s">
        <v>971</v>
      </c>
      <c r="D342" s="121" t="s">
        <v>972</v>
      </c>
      <c r="E342" s="107"/>
      <c r="F342" s="105" t="s">
        <v>973</v>
      </c>
      <c r="G342" s="105" t="s">
        <v>974</v>
      </c>
      <c r="H342" s="108"/>
      <c r="I342" s="104" t="s">
        <v>40</v>
      </c>
      <c r="J342" s="104"/>
      <c r="K342" s="86"/>
      <c r="L342" s="104"/>
      <c r="M342" s="104" t="s">
        <v>975</v>
      </c>
      <c r="N342" s="80"/>
      <c r="O342" s="80"/>
      <c r="P342" s="80"/>
      <c r="U342" s="106" t="s">
        <v>976</v>
      </c>
      <c r="W342" s="126">
        <v>10</v>
      </c>
      <c r="X342" s="61">
        <v>1</v>
      </c>
      <c r="Y342" s="112">
        <f t="shared" si="26"/>
        <v>10</v>
      </c>
      <c r="Z342" s="112" t="str">
        <f t="shared" si="27"/>
        <v/>
      </c>
      <c r="AA342" s="29"/>
    </row>
    <row r="343" spans="1:27" s="30" customFormat="1" ht="16" customHeight="1" x14ac:dyDescent="0.2">
      <c r="A343" s="105" t="s">
        <v>977</v>
      </c>
      <c r="B343" s="105" t="s">
        <v>978</v>
      </c>
      <c r="C343" s="121" t="s">
        <v>979</v>
      </c>
      <c r="D343" s="121" t="s">
        <v>980</v>
      </c>
      <c r="E343" s="107"/>
      <c r="F343" s="105" t="s">
        <v>973</v>
      </c>
      <c r="G343" s="105" t="s">
        <v>974</v>
      </c>
      <c r="H343" s="108"/>
      <c r="I343" s="104" t="s">
        <v>40</v>
      </c>
      <c r="J343" s="104"/>
      <c r="K343" s="86"/>
      <c r="L343" s="104"/>
      <c r="M343" s="104" t="s">
        <v>975</v>
      </c>
      <c r="N343" s="80"/>
      <c r="O343" s="80"/>
      <c r="P343" s="80"/>
      <c r="U343" s="106" t="s">
        <v>976</v>
      </c>
      <c r="W343" s="126">
        <v>10</v>
      </c>
      <c r="X343" s="61">
        <v>1</v>
      </c>
      <c r="Y343" s="112">
        <f t="shared" si="26"/>
        <v>10</v>
      </c>
      <c r="Z343" s="112" t="str">
        <f t="shared" si="27"/>
        <v/>
      </c>
      <c r="AA343" s="29"/>
    </row>
    <row r="344" spans="1:27" s="30" customFormat="1" x14ac:dyDescent="0.2">
      <c r="C344" s="31"/>
      <c r="D344" s="22"/>
      <c r="E344" s="32"/>
      <c r="H344" s="36"/>
      <c r="I344" s="71"/>
      <c r="J344" s="71"/>
      <c r="K344" s="71"/>
      <c r="L344" s="71"/>
      <c r="M344" s="71"/>
      <c r="N344" s="71"/>
      <c r="O344" s="71"/>
      <c r="P344" s="71"/>
      <c r="W344" s="126"/>
      <c r="X344" s="61">
        <v>1</v>
      </c>
      <c r="Y344" s="112" t="str">
        <f t="shared" si="26"/>
        <v/>
      </c>
      <c r="Z344" s="112" t="str">
        <f t="shared" si="27"/>
        <v/>
      </c>
      <c r="AA344" s="29"/>
    </row>
    <row r="345" spans="1:27" s="327" customFormat="1" ht="16" customHeight="1" x14ac:dyDescent="0.2">
      <c r="A345" s="320" t="s">
        <v>66</v>
      </c>
      <c r="B345" s="320" t="s">
        <v>981</v>
      </c>
      <c r="C345" s="321" t="s">
        <v>982</v>
      </c>
      <c r="D345" s="321" t="s">
        <v>983</v>
      </c>
      <c r="E345" s="322"/>
      <c r="F345" s="323"/>
      <c r="G345" s="323"/>
      <c r="H345" s="323"/>
      <c r="I345" s="324" t="s">
        <v>40</v>
      </c>
      <c r="J345" s="324" t="s">
        <v>984</v>
      </c>
      <c r="K345" s="325" t="s">
        <v>985</v>
      </c>
      <c r="L345" s="324" t="s">
        <v>986</v>
      </c>
      <c r="M345" s="324"/>
      <c r="N345" s="324"/>
      <c r="O345" s="324"/>
      <c r="P345" s="326"/>
      <c r="U345" s="323" t="s">
        <v>976</v>
      </c>
      <c r="W345" s="328">
        <v>10</v>
      </c>
      <c r="X345" s="329">
        <f>1</f>
        <v>1</v>
      </c>
      <c r="Y345" s="330">
        <f t="shared" si="26"/>
        <v>10</v>
      </c>
      <c r="Z345" s="330" t="str">
        <f t="shared" si="27"/>
        <v/>
      </c>
    </row>
    <row r="346" spans="1:27" s="327" customFormat="1" ht="48" customHeight="1" x14ac:dyDescent="0.2">
      <c r="A346" s="320" t="s">
        <v>987</v>
      </c>
      <c r="B346" s="320" t="s">
        <v>988</v>
      </c>
      <c r="C346" s="321" t="s">
        <v>989</v>
      </c>
      <c r="D346" s="321" t="s">
        <v>990</v>
      </c>
      <c r="E346" s="322"/>
      <c r="F346" s="323"/>
      <c r="G346" s="323"/>
      <c r="H346" s="323"/>
      <c r="I346" s="324" t="s">
        <v>40</v>
      </c>
      <c r="J346" s="324"/>
      <c r="K346" s="326"/>
      <c r="L346" s="324"/>
      <c r="M346" s="324"/>
      <c r="N346" s="324"/>
      <c r="O346" s="324"/>
      <c r="P346" s="326"/>
      <c r="U346" s="323" t="s">
        <v>976</v>
      </c>
      <c r="W346" s="328">
        <v>10</v>
      </c>
      <c r="X346" s="329">
        <f>1</f>
        <v>1</v>
      </c>
      <c r="Y346" s="330">
        <f t="shared" si="26"/>
        <v>10</v>
      </c>
      <c r="Z346" s="330" t="str">
        <f t="shared" si="27"/>
        <v/>
      </c>
    </row>
    <row r="347" spans="1:27" s="327" customFormat="1" ht="16" customHeight="1" x14ac:dyDescent="0.2">
      <c r="A347" s="320" t="s">
        <v>66</v>
      </c>
      <c r="B347" s="320" t="s">
        <v>991</v>
      </c>
      <c r="C347" s="321" t="s">
        <v>992</v>
      </c>
      <c r="D347" s="321" t="s">
        <v>993</v>
      </c>
      <c r="E347" s="322"/>
      <c r="F347" s="323"/>
      <c r="G347" s="323"/>
      <c r="H347" s="323"/>
      <c r="I347" s="324" t="s">
        <v>40</v>
      </c>
      <c r="J347" s="324" t="s">
        <v>984</v>
      </c>
      <c r="K347" s="325" t="s">
        <v>985</v>
      </c>
      <c r="L347" s="324" t="s">
        <v>986</v>
      </c>
      <c r="M347" s="324" t="s">
        <v>994</v>
      </c>
      <c r="N347" s="324"/>
      <c r="O347" s="324"/>
      <c r="P347" s="326"/>
      <c r="U347" s="323" t="s">
        <v>976</v>
      </c>
      <c r="W347" s="328">
        <v>10</v>
      </c>
      <c r="X347" s="329">
        <f>1</f>
        <v>1</v>
      </c>
      <c r="Y347" s="330">
        <f t="shared" si="26"/>
        <v>10</v>
      </c>
      <c r="Z347" s="330" t="str">
        <f t="shared" si="27"/>
        <v/>
      </c>
    </row>
    <row r="348" spans="1:27" s="327" customFormat="1" ht="16" customHeight="1" x14ac:dyDescent="0.2">
      <c r="A348" s="320" t="s">
        <v>66</v>
      </c>
      <c r="B348" s="320" t="s">
        <v>995</v>
      </c>
      <c r="C348" s="321" t="s">
        <v>996</v>
      </c>
      <c r="D348" s="321" t="s">
        <v>997</v>
      </c>
      <c r="E348" s="322"/>
      <c r="F348" s="323"/>
      <c r="G348" s="323"/>
      <c r="H348" s="323"/>
      <c r="I348" s="324" t="s">
        <v>40</v>
      </c>
      <c r="J348" s="324"/>
      <c r="K348" s="326"/>
      <c r="L348" s="324"/>
      <c r="M348" s="324" t="s">
        <v>998</v>
      </c>
      <c r="N348" s="324"/>
      <c r="O348" s="324"/>
      <c r="P348" s="326"/>
      <c r="U348" s="323" t="s">
        <v>976</v>
      </c>
      <c r="W348" s="328">
        <v>10</v>
      </c>
      <c r="X348" s="329">
        <f>1</f>
        <v>1</v>
      </c>
      <c r="Y348" s="330">
        <f t="shared" si="26"/>
        <v>10</v>
      </c>
      <c r="Z348" s="330" t="str">
        <f t="shared" si="27"/>
        <v/>
      </c>
    </row>
    <row r="349" spans="1:27" s="327" customFormat="1" ht="48" customHeight="1" x14ac:dyDescent="0.2">
      <c r="A349" s="320" t="s">
        <v>987</v>
      </c>
      <c r="B349" s="320" t="s">
        <v>999</v>
      </c>
      <c r="C349" s="321" t="s">
        <v>989</v>
      </c>
      <c r="D349" s="321" t="s">
        <v>990</v>
      </c>
      <c r="E349" s="322"/>
      <c r="F349" s="331"/>
      <c r="G349" s="331"/>
      <c r="H349" s="323"/>
      <c r="I349" s="324" t="s">
        <v>40</v>
      </c>
      <c r="J349" s="324"/>
      <c r="K349" s="326"/>
      <c r="L349" s="324"/>
      <c r="M349" s="324" t="s">
        <v>994</v>
      </c>
      <c r="N349" s="324"/>
      <c r="O349" s="324"/>
      <c r="P349" s="326"/>
      <c r="U349" s="323" t="s">
        <v>976</v>
      </c>
      <c r="W349" s="328">
        <v>10</v>
      </c>
      <c r="X349" s="329">
        <f>1</f>
        <v>1</v>
      </c>
      <c r="Y349" s="330">
        <f t="shared" si="26"/>
        <v>10</v>
      </c>
      <c r="Z349" s="330" t="str">
        <f t="shared" si="27"/>
        <v/>
      </c>
    </row>
    <row r="350" spans="1:27" s="327" customFormat="1" ht="16" customHeight="1" x14ac:dyDescent="0.2">
      <c r="A350" s="320" t="s">
        <v>66</v>
      </c>
      <c r="B350" s="320" t="s">
        <v>1000</v>
      </c>
      <c r="C350" s="321" t="s">
        <v>992</v>
      </c>
      <c r="D350" s="321" t="s">
        <v>993</v>
      </c>
      <c r="E350" s="322"/>
      <c r="F350" s="323"/>
      <c r="G350" s="323"/>
      <c r="H350" s="323"/>
      <c r="I350" s="324" t="s">
        <v>40</v>
      </c>
      <c r="J350" s="324" t="s">
        <v>984</v>
      </c>
      <c r="K350" s="325" t="s">
        <v>985</v>
      </c>
      <c r="L350" s="324" t="s">
        <v>986</v>
      </c>
      <c r="M350" s="324" t="s">
        <v>1001</v>
      </c>
      <c r="N350" s="324"/>
      <c r="O350" s="324"/>
      <c r="P350" s="326"/>
      <c r="U350" s="323" t="s">
        <v>976</v>
      </c>
      <c r="W350" s="328">
        <v>10</v>
      </c>
      <c r="X350" s="329">
        <f>1</f>
        <v>1</v>
      </c>
      <c r="Y350" s="330">
        <f t="shared" si="26"/>
        <v>10</v>
      </c>
      <c r="Z350" s="330" t="str">
        <f t="shared" si="27"/>
        <v/>
      </c>
    </row>
    <row r="351" spans="1:27" s="327" customFormat="1" ht="16" customHeight="1" x14ac:dyDescent="0.2">
      <c r="A351" s="320" t="s">
        <v>66</v>
      </c>
      <c r="B351" s="320" t="s">
        <v>1002</v>
      </c>
      <c r="C351" s="321" t="s">
        <v>996</v>
      </c>
      <c r="D351" s="321" t="s">
        <v>997</v>
      </c>
      <c r="E351" s="322"/>
      <c r="F351" s="323"/>
      <c r="G351" s="323"/>
      <c r="H351" s="323"/>
      <c r="I351" s="324" t="s">
        <v>40</v>
      </c>
      <c r="J351" s="324"/>
      <c r="K351" s="326"/>
      <c r="L351" s="324"/>
      <c r="M351" s="324" t="s">
        <v>1003</v>
      </c>
      <c r="N351" s="324"/>
      <c r="O351" s="324"/>
      <c r="P351" s="326"/>
      <c r="U351" s="323" t="s">
        <v>976</v>
      </c>
      <c r="W351" s="328">
        <v>10</v>
      </c>
      <c r="X351" s="329">
        <f>1</f>
        <v>1</v>
      </c>
      <c r="Y351" s="330">
        <f t="shared" si="26"/>
        <v>10</v>
      </c>
      <c r="Z351" s="330" t="str">
        <f t="shared" si="27"/>
        <v/>
      </c>
    </row>
    <row r="352" spans="1:27" ht="16" customHeight="1" x14ac:dyDescent="0.2">
      <c r="A352" s="28" t="s">
        <v>1004</v>
      </c>
      <c r="B352" s="28" t="s">
        <v>1005</v>
      </c>
      <c r="C352" s="19" t="s">
        <v>1006</v>
      </c>
      <c r="D352" s="34" t="s">
        <v>1007</v>
      </c>
      <c r="E352" s="41"/>
      <c r="F352" s="28"/>
      <c r="G352" s="28"/>
      <c r="H352" s="42"/>
      <c r="I352" s="70" t="s">
        <v>40</v>
      </c>
      <c r="J352" s="70"/>
      <c r="K352" s="70"/>
      <c r="L352" s="70"/>
      <c r="M352" s="70"/>
      <c r="N352" s="70"/>
      <c r="O352" s="70"/>
      <c r="P352" s="70"/>
      <c r="U352" s="20" t="s">
        <v>42</v>
      </c>
      <c r="W352" s="126">
        <v>3</v>
      </c>
      <c r="X352" s="61">
        <v>1</v>
      </c>
      <c r="Y352" s="112">
        <f t="shared" si="26"/>
        <v>3</v>
      </c>
      <c r="Z352" s="112">
        <f t="shared" si="27"/>
        <v>3</v>
      </c>
    </row>
    <row r="353" spans="1:26" x14ac:dyDescent="0.2">
      <c r="D353" s="22"/>
      <c r="E353" s="41"/>
      <c r="H353" s="42"/>
      <c r="W353" s="126"/>
      <c r="X353" s="61">
        <v>1</v>
      </c>
      <c r="Y353" s="112" t="str">
        <f t="shared" si="26"/>
        <v/>
      </c>
      <c r="Z353" s="112" t="str">
        <f t="shared" si="27"/>
        <v/>
      </c>
    </row>
    <row r="354" spans="1:26" ht="16" customHeight="1" x14ac:dyDescent="0.2">
      <c r="A354" s="28" t="s">
        <v>45</v>
      </c>
      <c r="B354" s="28" t="s">
        <v>1008</v>
      </c>
      <c r="C354" s="19" t="s">
        <v>1009</v>
      </c>
      <c r="D354" s="34" t="s">
        <v>1010</v>
      </c>
      <c r="E354" s="41"/>
      <c r="F354" s="28"/>
      <c r="G354" s="28"/>
      <c r="H354" s="42"/>
      <c r="I354" s="70" t="s">
        <v>51</v>
      </c>
      <c r="J354" s="70"/>
      <c r="K354" s="70"/>
      <c r="L354" s="70"/>
      <c r="M354" s="70"/>
      <c r="N354" s="70"/>
      <c r="O354" s="70"/>
      <c r="P354" s="70"/>
      <c r="U354" s="20" t="s">
        <v>52</v>
      </c>
      <c r="W354" s="126">
        <v>0</v>
      </c>
      <c r="X354" s="61">
        <v>1</v>
      </c>
      <c r="Y354" s="112">
        <f t="shared" si="26"/>
        <v>0</v>
      </c>
      <c r="Z354" s="112" t="str">
        <f t="shared" si="27"/>
        <v/>
      </c>
    </row>
    <row r="355" spans="1:26" x14ac:dyDescent="0.2">
      <c r="E355" s="41"/>
      <c r="H355" s="42"/>
      <c r="W355" s="126"/>
      <c r="X355" s="61">
        <v>1</v>
      </c>
      <c r="Y355" s="112" t="str">
        <f t="shared" si="26"/>
        <v/>
      </c>
      <c r="Z355" s="112" t="str">
        <f t="shared" si="27"/>
        <v/>
      </c>
    </row>
    <row r="356" spans="1:26" ht="16" customHeight="1" thickBot="1" x14ac:dyDescent="0.25">
      <c r="A356" s="54" t="s">
        <v>118</v>
      </c>
      <c r="B356" s="54"/>
      <c r="C356" s="55"/>
      <c r="D356" s="55"/>
      <c r="E356" s="62"/>
      <c r="F356" s="54"/>
      <c r="G356" s="54"/>
      <c r="H356" s="63"/>
      <c r="I356" s="83"/>
      <c r="J356" s="83"/>
      <c r="K356" s="83"/>
      <c r="L356" s="83"/>
      <c r="M356" s="83"/>
      <c r="N356" s="83"/>
      <c r="O356" s="83"/>
      <c r="P356" s="83"/>
      <c r="W356" s="126"/>
      <c r="Y356" s="112" t="str">
        <f t="shared" si="26"/>
        <v/>
      </c>
      <c r="Z356" s="112" t="str">
        <f t="shared" si="27"/>
        <v/>
      </c>
    </row>
    <row r="357" spans="1:26" s="30" customFormat="1" ht="16" customHeight="1" thickTop="1" x14ac:dyDescent="0.2">
      <c r="C357" s="31"/>
      <c r="D357" s="31"/>
      <c r="E357" s="31"/>
      <c r="I357" s="71"/>
      <c r="J357" s="71"/>
      <c r="K357" s="71"/>
      <c r="L357" s="71"/>
      <c r="M357" s="71"/>
      <c r="N357" s="71"/>
      <c r="O357" s="71"/>
      <c r="P357" s="71"/>
      <c r="W357" s="126"/>
      <c r="X357" s="116"/>
      <c r="Y357" s="115"/>
    </row>
    <row r="358" spans="1:26" ht="16" customHeight="1" x14ac:dyDescent="0.2">
      <c r="A358" s="28" t="s">
        <v>1011</v>
      </c>
      <c r="B358" s="28" t="s">
        <v>1012</v>
      </c>
      <c r="C358" s="19" t="s">
        <v>1013</v>
      </c>
      <c r="D358" s="19" t="s">
        <v>1014</v>
      </c>
      <c r="F358" s="28"/>
      <c r="G358" s="28"/>
      <c r="I358" s="70" t="s">
        <v>40</v>
      </c>
      <c r="J358" s="70"/>
      <c r="K358" s="70"/>
      <c r="L358" s="70"/>
      <c r="M358" s="70" t="s">
        <v>65</v>
      </c>
      <c r="N358" s="70"/>
      <c r="O358" s="70"/>
      <c r="P358" s="70"/>
      <c r="U358" s="20" t="s">
        <v>52</v>
      </c>
      <c r="W358" s="126"/>
      <c r="Y358" s="112"/>
    </row>
    <row r="359" spans="1:26" s="30" customFormat="1" ht="16" customHeight="1" x14ac:dyDescent="0.2">
      <c r="A359" s="30" t="s">
        <v>66</v>
      </c>
      <c r="B359" s="30" t="s">
        <v>1015</v>
      </c>
      <c r="C359" s="31" t="s">
        <v>1016</v>
      </c>
      <c r="D359" s="31" t="s">
        <v>1017</v>
      </c>
      <c r="E359" s="32"/>
      <c r="F359" s="30" t="s">
        <v>1018</v>
      </c>
      <c r="G359" s="30" t="s">
        <v>1019</v>
      </c>
      <c r="H359" s="36"/>
      <c r="I359" s="71" t="s">
        <v>51</v>
      </c>
      <c r="J359" s="71"/>
      <c r="K359" s="71"/>
      <c r="L359" s="71"/>
      <c r="M359" s="71"/>
      <c r="N359" s="71"/>
      <c r="O359" s="71"/>
      <c r="P359" s="71"/>
      <c r="U359" s="30" t="s">
        <v>52</v>
      </c>
      <c r="W359" s="126"/>
      <c r="X359" s="61"/>
      <c r="Y359" s="112"/>
      <c r="Z359" s="112" t="str">
        <f>IF(AND(W359&lt;&gt;"",U359="yes"),W359*X359,"")</f>
        <v/>
      </c>
    </row>
    <row r="360" spans="1:26" x14ac:dyDescent="0.2">
      <c r="A360" s="28" t="s">
        <v>26</v>
      </c>
      <c r="B360" s="28" t="s">
        <v>1020</v>
      </c>
      <c r="C360" s="19"/>
      <c r="D360" s="19"/>
      <c r="F360" s="28"/>
      <c r="G360" s="28"/>
      <c r="I360" s="70" t="s">
        <v>51</v>
      </c>
      <c r="J360" s="70"/>
      <c r="K360" s="70"/>
      <c r="L360" s="70"/>
      <c r="M360" s="70"/>
      <c r="N360" s="70"/>
      <c r="O360" s="70"/>
      <c r="P360" s="70" t="s">
        <v>1021</v>
      </c>
      <c r="U360" s="20" t="s">
        <v>52</v>
      </c>
      <c r="W360" s="126"/>
    </row>
    <row r="361" spans="1:26" x14ac:dyDescent="0.2">
      <c r="W361" s="126"/>
    </row>
    <row r="363" spans="1:26" ht="16" customHeight="1" x14ac:dyDescent="0.2">
      <c r="B363" s="21" t="s">
        <v>1022</v>
      </c>
    </row>
    <row r="364" spans="1:26" ht="32" customHeight="1" x14ac:dyDescent="0.2">
      <c r="B364" s="332"/>
      <c r="C364" s="21" t="s">
        <v>1023</v>
      </c>
    </row>
    <row r="365" spans="1:26" ht="17" customHeight="1" thickBot="1" x14ac:dyDescent="0.25">
      <c r="B365" s="283"/>
      <c r="C365" s="21" t="s">
        <v>1024</v>
      </c>
    </row>
    <row r="366" spans="1:26" ht="17" customHeight="1" thickBot="1" x14ac:dyDescent="0.25">
      <c r="B366" s="303"/>
      <c r="C366" s="21" t="s">
        <v>1025</v>
      </c>
      <c r="S366" s="135" t="s">
        <v>1026</v>
      </c>
      <c r="T366" s="136"/>
      <c r="U366" s="136"/>
      <c r="V366" s="136"/>
      <c r="W366" s="128"/>
      <c r="X366" s="117"/>
      <c r="Y366" s="118">
        <f>(SUM(Y4:Y354)/60)</f>
        <v>27.438866969210338</v>
      </c>
      <c r="Z366" s="118">
        <f>(SUM(Z4:Z42)+AVERAGE(Z43:Z45)+SUM(Z46:Z354))/60</f>
        <v>12.674542532431802</v>
      </c>
    </row>
    <row r="367" spans="1:26" ht="16" customHeight="1" x14ac:dyDescent="0.2">
      <c r="B367" s="302"/>
      <c r="C367" s="21" t="s">
        <v>1027</v>
      </c>
    </row>
  </sheetData>
  <sheetProtection algorithmName="SHA-512" hashValue="Q7Ipj7SfCAEJuzkdCrw2rp6q73ctxI7Lz5i0+WNjr5TIjp/qtAXAFc5mNtO0AE4dzEZQgsyRRXVOsVFGGbmMBA==" saltValue="GZOWwkagr3BDCd4+PNTgbQ==" spinCount="100000" sheet="1" objects="1" scenarios="1"/>
  <pageMargins left="0.7" right="0.7" top="0.75" bottom="0.75" header="0.3" footer="0.3"/>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15"/>
  <sheetViews>
    <sheetView zoomScale="110" zoomScaleNormal="110" workbookViewId="0">
      <pane ySplit="1" topLeftCell="A752" activePane="bottomLeft" state="frozen"/>
      <selection pane="bottomLeft" activeCell="B785" sqref="B785"/>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7" width="8.83203125" style="3" customWidth="1"/>
    <col min="8" max="16384" width="8.83203125" style="3"/>
  </cols>
  <sheetData>
    <row r="1" spans="1:6" x14ac:dyDescent="0.2">
      <c r="A1" s="2" t="s">
        <v>1028</v>
      </c>
      <c r="B1" s="2" t="s">
        <v>1</v>
      </c>
      <c r="C1" s="2" t="s">
        <v>2</v>
      </c>
      <c r="D1" s="2" t="s">
        <v>3</v>
      </c>
      <c r="E1" s="1" t="s">
        <v>4</v>
      </c>
      <c r="F1" s="6" t="s">
        <v>1029</v>
      </c>
    </row>
    <row r="2" spans="1:6" s="13" customFormat="1" x14ac:dyDescent="0.2">
      <c r="A2" s="13" t="s">
        <v>1030</v>
      </c>
      <c r="B2" s="137">
        <v>1</v>
      </c>
      <c r="C2" s="137" t="s">
        <v>1031</v>
      </c>
      <c r="D2" s="247" t="s">
        <v>1032</v>
      </c>
      <c r="E2" s="138"/>
      <c r="F2" s="139"/>
    </row>
    <row r="3" spans="1:6" s="13" customFormat="1" x14ac:dyDescent="0.2">
      <c r="A3" s="13" t="s">
        <v>1030</v>
      </c>
      <c r="B3" s="137">
        <v>2</v>
      </c>
      <c r="C3" s="137" t="s">
        <v>1033</v>
      </c>
      <c r="D3" s="247" t="s">
        <v>1034</v>
      </c>
      <c r="E3" s="138"/>
      <c r="F3" s="139"/>
    </row>
    <row r="4" spans="1:6" s="13" customFormat="1" x14ac:dyDescent="0.2">
      <c r="A4" s="13" t="s">
        <v>1030</v>
      </c>
      <c r="B4" s="137">
        <v>3</v>
      </c>
      <c r="C4" s="137" t="s">
        <v>1035</v>
      </c>
      <c r="D4" s="247" t="s">
        <v>1036</v>
      </c>
      <c r="E4" s="138"/>
      <c r="F4" s="139"/>
    </row>
    <row r="5" spans="1:6" s="13" customFormat="1" x14ac:dyDescent="0.2">
      <c r="A5" s="13" t="s">
        <v>1030</v>
      </c>
      <c r="B5" s="137">
        <v>4</v>
      </c>
      <c r="C5" s="137" t="s">
        <v>1037</v>
      </c>
      <c r="D5" s="247" t="s">
        <v>1038</v>
      </c>
      <c r="E5" s="138"/>
      <c r="F5" s="139"/>
    </row>
    <row r="6" spans="1:6" x14ac:dyDescent="0.2">
      <c r="A6" s="2"/>
      <c r="B6" s="2"/>
      <c r="C6" s="2"/>
      <c r="D6" s="2"/>
      <c r="E6" s="1"/>
      <c r="F6" s="2"/>
    </row>
    <row r="7" spans="1:6" x14ac:dyDescent="0.2">
      <c r="A7" t="s">
        <v>37</v>
      </c>
      <c r="B7" s="3">
        <v>1</v>
      </c>
      <c r="C7" s="5" t="s">
        <v>1039</v>
      </c>
      <c r="D7" s="248" t="s">
        <v>1040</v>
      </c>
      <c r="E7" s="4"/>
      <c r="F7" s="140"/>
    </row>
    <row r="8" spans="1:6" x14ac:dyDescent="0.2">
      <c r="A8" t="s">
        <v>37</v>
      </c>
      <c r="B8" s="3">
        <v>2</v>
      </c>
      <c r="C8" s="5" t="s">
        <v>1041</v>
      </c>
      <c r="D8" s="248" t="s">
        <v>1042</v>
      </c>
      <c r="E8" s="4"/>
      <c r="F8" s="140"/>
    </row>
    <row r="9" spans="1:6" x14ac:dyDescent="0.2">
      <c r="A9" t="s">
        <v>37</v>
      </c>
      <c r="B9" s="3">
        <v>3</v>
      </c>
      <c r="C9" s="5" t="s">
        <v>1043</v>
      </c>
      <c r="D9" s="248" t="s">
        <v>1044</v>
      </c>
      <c r="E9" s="4"/>
      <c r="F9" s="140"/>
    </row>
    <row r="10" spans="1:6" x14ac:dyDescent="0.2">
      <c r="E10" s="4"/>
    </row>
    <row r="11" spans="1:6" x14ac:dyDescent="0.2">
      <c r="A11" t="s">
        <v>1045</v>
      </c>
      <c r="B11">
        <v>1</v>
      </c>
      <c r="C11" t="s">
        <v>1046</v>
      </c>
      <c r="D11" t="s">
        <v>1047</v>
      </c>
      <c r="E11" s="4"/>
    </row>
    <row r="12" spans="1:6" x14ac:dyDescent="0.2">
      <c r="A12" t="s">
        <v>1045</v>
      </c>
      <c r="B12">
        <v>2</v>
      </c>
      <c r="C12" t="s">
        <v>1048</v>
      </c>
      <c r="D12" t="s">
        <v>1049</v>
      </c>
      <c r="E12" s="4"/>
    </row>
    <row r="13" spans="1:6" x14ac:dyDescent="0.2">
      <c r="A13" t="s">
        <v>1045</v>
      </c>
      <c r="B13" s="262">
        <v>3</v>
      </c>
      <c r="C13" t="s">
        <v>1050</v>
      </c>
      <c r="D13" t="s">
        <v>1051</v>
      </c>
      <c r="E13" s="4"/>
    </row>
    <row r="14" spans="1:6" x14ac:dyDescent="0.2">
      <c r="A14" t="s">
        <v>1045</v>
      </c>
      <c r="B14" s="262">
        <v>4</v>
      </c>
      <c r="C14" t="s">
        <v>1052</v>
      </c>
      <c r="D14" t="s">
        <v>1053</v>
      </c>
      <c r="E14" s="4"/>
    </row>
    <row r="15" spans="1:6" x14ac:dyDescent="0.2">
      <c r="E15" s="4"/>
    </row>
    <row r="16" spans="1:6" x14ac:dyDescent="0.2">
      <c r="A16" t="s">
        <v>1054</v>
      </c>
      <c r="B16" t="s">
        <v>1054</v>
      </c>
      <c r="C16" t="s">
        <v>1054</v>
      </c>
      <c r="D16" t="s">
        <v>1055</v>
      </c>
      <c r="E16" s="4"/>
    </row>
    <row r="17" spans="1:7" x14ac:dyDescent="0.2">
      <c r="E17" s="4"/>
    </row>
    <row r="18" spans="1:7" x14ac:dyDescent="0.2">
      <c r="A18" t="s">
        <v>1056</v>
      </c>
      <c r="B18">
        <v>1</v>
      </c>
      <c r="C18" t="s">
        <v>1046</v>
      </c>
      <c r="D18" t="s">
        <v>1057</v>
      </c>
      <c r="E18" s="4"/>
    </row>
    <row r="19" spans="1:7" ht="16" customHeight="1" x14ac:dyDescent="0.2">
      <c r="A19" t="s">
        <v>1056</v>
      </c>
      <c r="B19">
        <v>2</v>
      </c>
      <c r="C19" t="s">
        <v>1048</v>
      </c>
      <c r="D19" t="s">
        <v>1048</v>
      </c>
      <c r="E19" s="4"/>
      <c r="G19" s="267"/>
    </row>
    <row r="20" spans="1:7" x14ac:dyDescent="0.2">
      <c r="E20" s="4"/>
    </row>
    <row r="21" spans="1:7" s="11" customFormat="1" x14ac:dyDescent="0.2">
      <c r="A21" s="14" t="s">
        <v>1058</v>
      </c>
      <c r="B21" s="14" t="s">
        <v>1059</v>
      </c>
      <c r="C21" s="14" t="s">
        <v>1060</v>
      </c>
      <c r="D21" s="14" t="s">
        <v>1061</v>
      </c>
      <c r="E21" s="7"/>
    </row>
    <row r="22" spans="1:7" s="11" customFormat="1" x14ac:dyDescent="0.2">
      <c r="A22" s="263" t="s">
        <v>1058</v>
      </c>
      <c r="B22" s="263" t="s">
        <v>1062</v>
      </c>
      <c r="C22" s="263" t="s">
        <v>1063</v>
      </c>
      <c r="D22" s="263" t="s">
        <v>1064</v>
      </c>
      <c r="E22" s="7"/>
    </row>
    <row r="23" spans="1:7" s="11" customFormat="1" x14ac:dyDescent="0.2">
      <c r="A23" s="14" t="s">
        <v>1058</v>
      </c>
      <c r="B23" s="5" t="s">
        <v>1065</v>
      </c>
      <c r="C23" s="5" t="s">
        <v>1065</v>
      </c>
      <c r="D23" s="5"/>
      <c r="E23" s="7"/>
    </row>
    <row r="24" spans="1:7" x14ac:dyDescent="0.2">
      <c r="E24" s="4"/>
    </row>
    <row r="25" spans="1:7" x14ac:dyDescent="0.2">
      <c r="A25" t="s">
        <v>1066</v>
      </c>
      <c r="B25">
        <v>1</v>
      </c>
      <c r="C25" t="s">
        <v>1067</v>
      </c>
      <c r="D25" t="s">
        <v>1068</v>
      </c>
      <c r="E25" s="4"/>
    </row>
    <row r="26" spans="1:7" x14ac:dyDescent="0.2">
      <c r="A26" t="s">
        <v>1066</v>
      </c>
      <c r="B26">
        <v>2</v>
      </c>
      <c r="C26" t="s">
        <v>1069</v>
      </c>
      <c r="D26" t="s">
        <v>1070</v>
      </c>
      <c r="E26" s="4"/>
    </row>
    <row r="27" spans="1:7" x14ac:dyDescent="0.2">
      <c r="A27" t="s">
        <v>1066</v>
      </c>
      <c r="B27" s="262">
        <v>3</v>
      </c>
      <c r="C27" s="263" t="s">
        <v>1050</v>
      </c>
      <c r="D27" t="s">
        <v>1051</v>
      </c>
      <c r="E27" s="4"/>
    </row>
    <row r="28" spans="1:7" x14ac:dyDescent="0.2">
      <c r="A28" t="s">
        <v>1066</v>
      </c>
      <c r="B28" s="262">
        <v>4</v>
      </c>
      <c r="C28" s="263" t="s">
        <v>1052</v>
      </c>
      <c r="D28" t="s">
        <v>1053</v>
      </c>
      <c r="E28" s="4"/>
    </row>
    <row r="29" spans="1:7" x14ac:dyDescent="0.2">
      <c r="C29" s="14"/>
      <c r="D29" s="14"/>
      <c r="E29" s="4"/>
    </row>
    <row r="30" spans="1:7" x14ac:dyDescent="0.2">
      <c r="A30" t="s">
        <v>1071</v>
      </c>
      <c r="B30">
        <v>1</v>
      </c>
      <c r="C30" s="263" t="s">
        <v>1072</v>
      </c>
      <c r="D30" s="263" t="s">
        <v>1073</v>
      </c>
      <c r="E30" s="4"/>
    </row>
    <row r="31" spans="1:7" x14ac:dyDescent="0.2">
      <c r="A31" t="s">
        <v>1071</v>
      </c>
      <c r="B31">
        <v>2</v>
      </c>
      <c r="C31" s="3" t="s">
        <v>1074</v>
      </c>
      <c r="D31" s="263" t="s">
        <v>1075</v>
      </c>
      <c r="E31" s="4"/>
    </row>
    <row r="32" spans="1:7" x14ac:dyDescent="0.2">
      <c r="A32" t="s">
        <v>1071</v>
      </c>
      <c r="B32">
        <v>3</v>
      </c>
      <c r="C32" s="263" t="s">
        <v>1076</v>
      </c>
      <c r="D32" s="263" t="s">
        <v>1077</v>
      </c>
      <c r="E32" s="4"/>
    </row>
    <row r="33" spans="1:5" x14ac:dyDescent="0.2">
      <c r="A33" t="s">
        <v>1071</v>
      </c>
      <c r="B33">
        <v>4</v>
      </c>
      <c r="C33" s="263" t="s">
        <v>1049</v>
      </c>
      <c r="D33" s="263" t="s">
        <v>1049</v>
      </c>
      <c r="E33" s="4"/>
    </row>
    <row r="34" spans="1:5" x14ac:dyDescent="0.2">
      <c r="C34" s="14"/>
      <c r="D34" s="14"/>
      <c r="E34" s="4"/>
    </row>
    <row r="35" spans="1:5" x14ac:dyDescent="0.2">
      <c r="A35" t="s">
        <v>1078</v>
      </c>
      <c r="B35">
        <v>1</v>
      </c>
      <c r="C35" t="s">
        <v>1079</v>
      </c>
      <c r="D35" t="s">
        <v>1080</v>
      </c>
      <c r="E35" s="4"/>
    </row>
    <row r="36" spans="1:5" x14ac:dyDescent="0.2">
      <c r="A36" t="s">
        <v>1078</v>
      </c>
      <c r="B36">
        <v>2</v>
      </c>
      <c r="C36" t="s">
        <v>1081</v>
      </c>
      <c r="D36" t="s">
        <v>1082</v>
      </c>
      <c r="E36" s="4"/>
    </row>
    <row r="37" spans="1:5" x14ac:dyDescent="0.2">
      <c r="A37" t="s">
        <v>1078</v>
      </c>
      <c r="B37">
        <v>3</v>
      </c>
      <c r="C37" t="s">
        <v>1083</v>
      </c>
      <c r="D37" t="s">
        <v>1084</v>
      </c>
      <c r="E37" s="4"/>
    </row>
    <row r="38" spans="1:5" x14ac:dyDescent="0.2">
      <c r="A38" t="s">
        <v>1078</v>
      </c>
      <c r="B38">
        <v>4</v>
      </c>
      <c r="C38" t="s">
        <v>1048</v>
      </c>
      <c r="D38" t="s">
        <v>1048</v>
      </c>
      <c r="E38" s="4"/>
    </row>
    <row r="39" spans="1:5" x14ac:dyDescent="0.2">
      <c r="A39" t="s">
        <v>1078</v>
      </c>
      <c r="B39" s="262">
        <v>5</v>
      </c>
      <c r="C39" s="263" t="s">
        <v>1050</v>
      </c>
      <c r="D39" t="s">
        <v>1051</v>
      </c>
      <c r="E39" s="4"/>
    </row>
    <row r="40" spans="1:5" x14ac:dyDescent="0.2">
      <c r="A40" t="s">
        <v>1078</v>
      </c>
      <c r="B40" s="262">
        <v>6</v>
      </c>
      <c r="C40" t="s">
        <v>1052</v>
      </c>
      <c r="D40" t="s">
        <v>1053</v>
      </c>
      <c r="E40" s="4"/>
    </row>
    <row r="41" spans="1:5" x14ac:dyDescent="0.2">
      <c r="E41" s="4"/>
    </row>
    <row r="42" spans="1:5" x14ac:dyDescent="0.2">
      <c r="A42" t="s">
        <v>1085</v>
      </c>
      <c r="B42">
        <v>1</v>
      </c>
      <c r="C42" s="263" t="s">
        <v>1086</v>
      </c>
      <c r="D42" s="263" t="s">
        <v>1087</v>
      </c>
      <c r="E42" s="4"/>
    </row>
    <row r="43" spans="1:5" x14ac:dyDescent="0.2">
      <c r="A43" t="s">
        <v>1085</v>
      </c>
      <c r="B43">
        <v>2</v>
      </c>
      <c r="C43" s="263" t="s">
        <v>1088</v>
      </c>
      <c r="D43" s="263" t="s">
        <v>1089</v>
      </c>
      <c r="E43" s="4"/>
    </row>
    <row r="44" spans="1:5" x14ac:dyDescent="0.2">
      <c r="A44" t="s">
        <v>1085</v>
      </c>
      <c r="B44">
        <v>3</v>
      </c>
      <c r="C44" s="263" t="s">
        <v>1090</v>
      </c>
      <c r="D44" s="263" t="s">
        <v>1091</v>
      </c>
      <c r="E44" s="4"/>
    </row>
    <row r="45" spans="1:5" x14ac:dyDescent="0.2">
      <c r="A45" t="s">
        <v>1085</v>
      </c>
      <c r="B45">
        <v>4</v>
      </c>
      <c r="C45" s="263" t="s">
        <v>1092</v>
      </c>
      <c r="D45" s="263" t="s">
        <v>1093</v>
      </c>
      <c r="E45" s="4"/>
    </row>
    <row r="46" spans="1:5" x14ac:dyDescent="0.2">
      <c r="A46" t="s">
        <v>1085</v>
      </c>
      <c r="B46">
        <v>5</v>
      </c>
      <c r="C46" s="263" t="s">
        <v>1094</v>
      </c>
      <c r="D46" s="305" t="s">
        <v>1095</v>
      </c>
      <c r="E46" s="4"/>
    </row>
    <row r="47" spans="1:5" x14ac:dyDescent="0.2">
      <c r="A47" t="s">
        <v>1085</v>
      </c>
      <c r="B47" s="262">
        <v>6</v>
      </c>
      <c r="C47" t="s">
        <v>1050</v>
      </c>
      <c r="D47" t="s">
        <v>1051</v>
      </c>
      <c r="E47" s="4"/>
    </row>
    <row r="48" spans="1:5" x14ac:dyDescent="0.2">
      <c r="A48" t="s">
        <v>1085</v>
      </c>
      <c r="B48" s="262">
        <v>7</v>
      </c>
      <c r="C48" t="s">
        <v>1052</v>
      </c>
      <c r="D48" t="s">
        <v>1053</v>
      </c>
      <c r="E48" s="4"/>
    </row>
    <row r="49" spans="1:5" x14ac:dyDescent="0.2">
      <c r="B49" s="10"/>
      <c r="E49" s="4"/>
    </row>
    <row r="50" spans="1:5" x14ac:dyDescent="0.2">
      <c r="A50" t="s">
        <v>1096</v>
      </c>
      <c r="B50" s="262">
        <v>1</v>
      </c>
      <c r="C50" t="s">
        <v>1097</v>
      </c>
      <c r="D50" t="s">
        <v>1098</v>
      </c>
      <c r="E50" s="4"/>
    </row>
    <row r="51" spans="1:5" x14ac:dyDescent="0.2">
      <c r="A51" t="s">
        <v>1096</v>
      </c>
      <c r="B51" s="262">
        <v>2</v>
      </c>
      <c r="C51" t="s">
        <v>1099</v>
      </c>
      <c r="D51" t="s">
        <v>1100</v>
      </c>
      <c r="E51" s="4"/>
    </row>
    <row r="52" spans="1:5" x14ac:dyDescent="0.2">
      <c r="A52" t="s">
        <v>1096</v>
      </c>
      <c r="B52" s="262">
        <v>3</v>
      </c>
      <c r="C52" t="s">
        <v>1101</v>
      </c>
      <c r="D52" t="s">
        <v>1102</v>
      </c>
      <c r="E52" s="4"/>
    </row>
    <row r="53" spans="1:5" x14ac:dyDescent="0.2">
      <c r="A53" t="s">
        <v>1096</v>
      </c>
      <c r="B53" s="262">
        <v>4</v>
      </c>
      <c r="C53" t="s">
        <v>1103</v>
      </c>
      <c r="D53" t="s">
        <v>1104</v>
      </c>
      <c r="E53" s="4"/>
    </row>
    <row r="54" spans="1:5" x14ac:dyDescent="0.2">
      <c r="A54" t="s">
        <v>1096</v>
      </c>
      <c r="B54" s="262">
        <v>5</v>
      </c>
      <c r="C54" t="s">
        <v>1105</v>
      </c>
      <c r="D54" t="s">
        <v>1106</v>
      </c>
      <c r="E54" s="4"/>
    </row>
    <row r="55" spans="1:5" x14ac:dyDescent="0.2">
      <c r="A55" t="s">
        <v>1096</v>
      </c>
      <c r="B55" s="262">
        <v>6</v>
      </c>
      <c r="C55" t="s">
        <v>1107</v>
      </c>
      <c r="D55" t="s">
        <v>1108</v>
      </c>
      <c r="E55" s="4"/>
    </row>
    <row r="56" spans="1:5" x14ac:dyDescent="0.2">
      <c r="A56" t="s">
        <v>1096</v>
      </c>
      <c r="B56" s="262">
        <v>7</v>
      </c>
      <c r="C56" t="s">
        <v>1109</v>
      </c>
      <c r="D56" t="s">
        <v>1110</v>
      </c>
      <c r="E56" s="4"/>
    </row>
    <row r="57" spans="1:5" x14ac:dyDescent="0.2">
      <c r="A57" t="s">
        <v>1096</v>
      </c>
      <c r="B57" s="262">
        <v>8</v>
      </c>
      <c r="C57" t="s">
        <v>1111</v>
      </c>
      <c r="D57" t="s">
        <v>1112</v>
      </c>
      <c r="E57" s="4"/>
    </row>
    <row r="58" spans="1:5" x14ac:dyDescent="0.2">
      <c r="A58" t="s">
        <v>1096</v>
      </c>
      <c r="B58" s="262">
        <v>9</v>
      </c>
      <c r="C58" t="s">
        <v>1113</v>
      </c>
      <c r="D58" t="s">
        <v>1114</v>
      </c>
      <c r="E58" s="4"/>
    </row>
    <row r="59" spans="1:5" x14ac:dyDescent="0.2">
      <c r="A59" t="s">
        <v>1096</v>
      </c>
      <c r="B59" s="262">
        <v>10</v>
      </c>
      <c r="C59" t="s">
        <v>1115</v>
      </c>
      <c r="D59" t="s">
        <v>1116</v>
      </c>
      <c r="E59" s="4"/>
    </row>
    <row r="60" spans="1:5" x14ac:dyDescent="0.2">
      <c r="A60" t="s">
        <v>1096</v>
      </c>
      <c r="B60" s="262">
        <v>11</v>
      </c>
      <c r="C60" t="s">
        <v>1050</v>
      </c>
      <c r="D60" t="s">
        <v>1051</v>
      </c>
      <c r="E60" s="4"/>
    </row>
    <row r="61" spans="1:5" x14ac:dyDescent="0.2">
      <c r="A61" t="s">
        <v>1096</v>
      </c>
      <c r="B61" s="262">
        <v>12</v>
      </c>
      <c r="C61" t="s">
        <v>1052</v>
      </c>
      <c r="D61" t="s">
        <v>1053</v>
      </c>
      <c r="E61" s="4"/>
    </row>
    <row r="62" spans="1:5" x14ac:dyDescent="0.2">
      <c r="B62" s="10"/>
      <c r="E62" s="4"/>
    </row>
    <row r="63" spans="1:5" x14ac:dyDescent="0.2">
      <c r="A63" t="s">
        <v>1117</v>
      </c>
      <c r="B63" s="262">
        <v>1</v>
      </c>
      <c r="C63" t="s">
        <v>1118</v>
      </c>
      <c r="D63" t="s">
        <v>1119</v>
      </c>
      <c r="E63" s="4"/>
    </row>
    <row r="64" spans="1:5" x14ac:dyDescent="0.2">
      <c r="A64" t="s">
        <v>1117</v>
      </c>
      <c r="B64" s="262">
        <v>2</v>
      </c>
      <c r="C64" t="s">
        <v>1120</v>
      </c>
      <c r="D64" t="s">
        <v>1121</v>
      </c>
      <c r="E64" s="4"/>
    </row>
    <row r="65" spans="1:5" x14ac:dyDescent="0.2">
      <c r="A65" t="s">
        <v>1117</v>
      </c>
      <c r="B65" s="262">
        <v>3</v>
      </c>
      <c r="C65" t="s">
        <v>1122</v>
      </c>
      <c r="D65" t="s">
        <v>1123</v>
      </c>
      <c r="E65" s="4"/>
    </row>
    <row r="66" spans="1:5" x14ac:dyDescent="0.2">
      <c r="A66" t="s">
        <v>1117</v>
      </c>
      <c r="B66" s="262">
        <v>4</v>
      </c>
      <c r="C66" t="s">
        <v>1124</v>
      </c>
      <c r="D66" t="s">
        <v>1125</v>
      </c>
      <c r="E66" s="4"/>
    </row>
    <row r="67" spans="1:5" x14ac:dyDescent="0.2">
      <c r="A67" t="s">
        <v>1117</v>
      </c>
      <c r="B67" s="262">
        <v>5</v>
      </c>
      <c r="C67" t="s">
        <v>1126</v>
      </c>
      <c r="D67" t="s">
        <v>1127</v>
      </c>
      <c r="E67" s="4"/>
    </row>
    <row r="68" spans="1:5" x14ac:dyDescent="0.2">
      <c r="A68" t="s">
        <v>1117</v>
      </c>
      <c r="B68" s="262">
        <v>6</v>
      </c>
      <c r="C68" t="s">
        <v>1050</v>
      </c>
      <c r="D68" t="s">
        <v>1051</v>
      </c>
      <c r="E68" s="4"/>
    </row>
    <row r="69" spans="1:5" x14ac:dyDescent="0.2">
      <c r="A69" t="s">
        <v>1117</v>
      </c>
      <c r="B69" s="262">
        <v>7</v>
      </c>
      <c r="C69" t="s">
        <v>1052</v>
      </c>
      <c r="D69" t="s">
        <v>1053</v>
      </c>
      <c r="E69" s="4"/>
    </row>
    <row r="70" spans="1:5" x14ac:dyDescent="0.2">
      <c r="B70" s="10"/>
      <c r="E70" s="4"/>
    </row>
    <row r="71" spans="1:5" x14ac:dyDescent="0.2">
      <c r="A71" t="s">
        <v>1128</v>
      </c>
      <c r="B71" s="262">
        <v>1</v>
      </c>
      <c r="C71" t="s">
        <v>1129</v>
      </c>
      <c r="D71" t="s">
        <v>1130</v>
      </c>
      <c r="E71" s="4"/>
    </row>
    <row r="72" spans="1:5" x14ac:dyDescent="0.2">
      <c r="A72" t="s">
        <v>1128</v>
      </c>
      <c r="B72" s="262">
        <v>2</v>
      </c>
      <c r="C72" t="s">
        <v>1131</v>
      </c>
      <c r="D72" t="s">
        <v>1132</v>
      </c>
      <c r="E72" s="4"/>
    </row>
    <row r="73" spans="1:5" x14ac:dyDescent="0.2">
      <c r="A73" t="s">
        <v>1128</v>
      </c>
      <c r="B73" s="262">
        <v>3</v>
      </c>
      <c r="C73" t="s">
        <v>1133</v>
      </c>
      <c r="D73" t="s">
        <v>1134</v>
      </c>
      <c r="E73" s="4"/>
    </row>
    <row r="74" spans="1:5" x14ac:dyDescent="0.2">
      <c r="A74" t="s">
        <v>1128</v>
      </c>
      <c r="B74" s="262">
        <v>4</v>
      </c>
      <c r="C74" t="s">
        <v>1135</v>
      </c>
      <c r="D74" t="s">
        <v>1136</v>
      </c>
      <c r="E74" s="4"/>
    </row>
    <row r="75" spans="1:5" x14ac:dyDescent="0.2">
      <c r="A75" t="s">
        <v>1128</v>
      </c>
      <c r="B75" s="262">
        <v>5</v>
      </c>
      <c r="C75" t="s">
        <v>1137</v>
      </c>
      <c r="D75" t="s">
        <v>1138</v>
      </c>
      <c r="E75" s="4"/>
    </row>
    <row r="76" spans="1:5" x14ac:dyDescent="0.2">
      <c r="A76" t="s">
        <v>1128</v>
      </c>
      <c r="B76" s="262">
        <v>6</v>
      </c>
      <c r="C76" t="s">
        <v>1139</v>
      </c>
      <c r="D76" t="s">
        <v>1140</v>
      </c>
      <c r="E76" s="4"/>
    </row>
    <row r="77" spans="1:5" x14ac:dyDescent="0.2">
      <c r="A77" t="s">
        <v>1128</v>
      </c>
      <c r="B77" s="262">
        <v>7</v>
      </c>
      <c r="C77" t="s">
        <v>1050</v>
      </c>
      <c r="D77" t="s">
        <v>1051</v>
      </c>
      <c r="E77" s="4"/>
    </row>
    <row r="78" spans="1:5" x14ac:dyDescent="0.2">
      <c r="A78" t="s">
        <v>1128</v>
      </c>
      <c r="B78" s="262">
        <v>8</v>
      </c>
      <c r="C78" t="s">
        <v>1052</v>
      </c>
      <c r="D78" t="s">
        <v>1053</v>
      </c>
      <c r="E78" s="4"/>
    </row>
    <row r="79" spans="1:5" x14ac:dyDescent="0.2">
      <c r="E79" s="4"/>
    </row>
    <row r="80" spans="1:5" x14ac:dyDescent="0.2">
      <c r="A80" s="264" t="s">
        <v>1141</v>
      </c>
      <c r="B80" s="264">
        <v>1</v>
      </c>
      <c r="C80" s="264" t="s">
        <v>1142</v>
      </c>
      <c r="D80" s="265" t="s">
        <v>1143</v>
      </c>
      <c r="E80" s="4"/>
    </row>
    <row r="81" spans="1:5" x14ac:dyDescent="0.2">
      <c r="A81" s="264" t="s">
        <v>1141</v>
      </c>
      <c r="B81" s="264">
        <v>2</v>
      </c>
      <c r="C81" s="264" t="s">
        <v>1144</v>
      </c>
      <c r="D81" s="265" t="s">
        <v>1145</v>
      </c>
      <c r="E81" s="4"/>
    </row>
    <row r="82" spans="1:5" x14ac:dyDescent="0.2">
      <c r="A82" s="264" t="s">
        <v>1141</v>
      </c>
      <c r="B82" s="264">
        <v>3</v>
      </c>
      <c r="C82" s="264" t="s">
        <v>1146</v>
      </c>
      <c r="D82" s="265" t="s">
        <v>1147</v>
      </c>
      <c r="E82" s="4"/>
    </row>
    <row r="83" spans="1:5" x14ac:dyDescent="0.2">
      <c r="A83" s="264" t="s">
        <v>1141</v>
      </c>
      <c r="B83" s="264">
        <v>4</v>
      </c>
      <c r="C83" s="264" t="s">
        <v>1148</v>
      </c>
      <c r="D83" s="265" t="s">
        <v>1149</v>
      </c>
      <c r="E83" s="4"/>
    </row>
    <row r="84" spans="1:5" x14ac:dyDescent="0.2">
      <c r="A84" s="264" t="s">
        <v>1141</v>
      </c>
      <c r="B84" s="264">
        <v>5</v>
      </c>
      <c r="C84" s="264" t="s">
        <v>1150</v>
      </c>
      <c r="D84" s="265" t="s">
        <v>1151</v>
      </c>
      <c r="E84" s="4"/>
    </row>
    <row r="85" spans="1:5" x14ac:dyDescent="0.2">
      <c r="A85" s="264" t="s">
        <v>1141</v>
      </c>
      <c r="B85" s="264">
        <v>6</v>
      </c>
      <c r="C85" s="264" t="s">
        <v>1050</v>
      </c>
      <c r="D85" s="265" t="s">
        <v>1051</v>
      </c>
      <c r="E85" s="4"/>
    </row>
    <row r="86" spans="1:5" x14ac:dyDescent="0.2">
      <c r="A86" s="264" t="s">
        <v>1141</v>
      </c>
      <c r="B86" s="264">
        <v>7</v>
      </c>
      <c r="C86" s="264" t="s">
        <v>1052</v>
      </c>
      <c r="D86" s="265" t="s">
        <v>1053</v>
      </c>
      <c r="E86" s="4"/>
    </row>
    <row r="87" spans="1:5" x14ac:dyDescent="0.2">
      <c r="A87" s="13"/>
      <c r="B87" s="13"/>
      <c r="C87" s="13"/>
      <c r="D87" s="249"/>
      <c r="E87" s="4"/>
    </row>
    <row r="88" spans="1:5" x14ac:dyDescent="0.2">
      <c r="A88" s="264" t="s">
        <v>1152</v>
      </c>
      <c r="B88" s="264" t="s">
        <v>1153</v>
      </c>
      <c r="C88" s="264" t="s">
        <v>1154</v>
      </c>
      <c r="D88" s="264" t="s">
        <v>1155</v>
      </c>
      <c r="E88" s="4"/>
    </row>
    <row r="89" spans="1:5" x14ac:dyDescent="0.2">
      <c r="A89" s="264" t="s">
        <v>1152</v>
      </c>
      <c r="B89" s="264" t="s">
        <v>1156</v>
      </c>
      <c r="C89" s="264" t="s">
        <v>1157</v>
      </c>
      <c r="D89" s="265" t="s">
        <v>1158</v>
      </c>
      <c r="E89" s="4"/>
    </row>
    <row r="90" spans="1:5" x14ac:dyDescent="0.2">
      <c r="A90" s="264" t="s">
        <v>1152</v>
      </c>
      <c r="B90" s="264" t="s">
        <v>1159</v>
      </c>
      <c r="C90" s="264" t="s">
        <v>1160</v>
      </c>
      <c r="D90" s="265" t="s">
        <v>1161</v>
      </c>
      <c r="E90" s="4"/>
    </row>
    <row r="91" spans="1:5" x14ac:dyDescent="0.2">
      <c r="A91" s="264" t="s">
        <v>1152</v>
      </c>
      <c r="B91" s="264" t="s">
        <v>1162</v>
      </c>
      <c r="C91" s="264" t="s">
        <v>1163</v>
      </c>
      <c r="D91" s="265" t="s">
        <v>1163</v>
      </c>
      <c r="E91" s="4"/>
    </row>
    <row r="92" spans="1:5" x14ac:dyDescent="0.2">
      <c r="A92" s="264" t="s">
        <v>1152</v>
      </c>
      <c r="B92" s="264" t="s">
        <v>1164</v>
      </c>
      <c r="C92" s="264" t="s">
        <v>1165</v>
      </c>
      <c r="D92" s="265" t="s">
        <v>1166</v>
      </c>
      <c r="E92" s="4"/>
    </row>
    <row r="93" spans="1:5" x14ac:dyDescent="0.2">
      <c r="A93" s="264" t="s">
        <v>1152</v>
      </c>
      <c r="B93" s="264" t="s">
        <v>1167</v>
      </c>
      <c r="C93" s="264" t="s">
        <v>1168</v>
      </c>
      <c r="D93" s="265" t="s">
        <v>1169</v>
      </c>
      <c r="E93" s="4"/>
    </row>
    <row r="94" spans="1:5" x14ac:dyDescent="0.2">
      <c r="A94" s="264" t="s">
        <v>1152</v>
      </c>
      <c r="B94" s="264" t="s">
        <v>1170</v>
      </c>
      <c r="C94" s="264" t="s">
        <v>1171</v>
      </c>
      <c r="D94" s="265" t="s">
        <v>1172</v>
      </c>
      <c r="E94" s="4"/>
    </row>
    <row r="95" spans="1:5" x14ac:dyDescent="0.2">
      <c r="A95" s="264" t="s">
        <v>1152</v>
      </c>
      <c r="B95" s="264" t="s">
        <v>1173</v>
      </c>
      <c r="C95" s="264" t="s">
        <v>1050</v>
      </c>
      <c r="D95" s="265" t="s">
        <v>1051</v>
      </c>
      <c r="E95" s="4"/>
    </row>
    <row r="96" spans="1:5" x14ac:dyDescent="0.2">
      <c r="A96" s="264" t="s">
        <v>1152</v>
      </c>
      <c r="B96" s="264" t="s">
        <v>1174</v>
      </c>
      <c r="C96" s="264" t="s">
        <v>1052</v>
      </c>
      <c r="D96" s="265" t="s">
        <v>1053</v>
      </c>
      <c r="E96" s="4"/>
    </row>
    <row r="97" spans="1:5" x14ac:dyDescent="0.2">
      <c r="A97" s="13"/>
      <c r="B97" s="13"/>
      <c r="C97" s="13"/>
      <c r="D97" s="249"/>
      <c r="E97" s="4"/>
    </row>
    <row r="98" spans="1:5" x14ac:dyDescent="0.2">
      <c r="A98" s="264" t="s">
        <v>1175</v>
      </c>
      <c r="B98" s="264" t="s">
        <v>1176</v>
      </c>
      <c r="C98" s="264" t="s">
        <v>1177</v>
      </c>
      <c r="D98" s="265" t="s">
        <v>1178</v>
      </c>
      <c r="E98" s="4"/>
    </row>
    <row r="99" spans="1:5" x14ac:dyDescent="0.2">
      <c r="A99" s="264" t="s">
        <v>1175</v>
      </c>
      <c r="B99" s="264" t="s">
        <v>1179</v>
      </c>
      <c r="C99" s="264" t="s">
        <v>1180</v>
      </c>
      <c r="D99" s="265" t="s">
        <v>1181</v>
      </c>
      <c r="E99" s="4"/>
    </row>
    <row r="100" spans="1:5" x14ac:dyDescent="0.2">
      <c r="A100" s="264" t="s">
        <v>1175</v>
      </c>
      <c r="B100" s="264" t="s">
        <v>1182</v>
      </c>
      <c r="C100" s="264" t="s">
        <v>1183</v>
      </c>
      <c r="D100" s="265" t="s">
        <v>1184</v>
      </c>
      <c r="E100" s="4"/>
    </row>
    <row r="101" spans="1:5" x14ac:dyDescent="0.2">
      <c r="A101" s="264" t="s">
        <v>1175</v>
      </c>
      <c r="B101" s="264" t="s">
        <v>1185</v>
      </c>
      <c r="C101" s="264" t="s">
        <v>1186</v>
      </c>
      <c r="D101" s="265" t="s">
        <v>1187</v>
      </c>
      <c r="E101" s="4"/>
    </row>
    <row r="102" spans="1:5" x14ac:dyDescent="0.2">
      <c r="A102" s="264" t="s">
        <v>1175</v>
      </c>
      <c r="B102" s="264" t="s">
        <v>1188</v>
      </c>
      <c r="C102" s="264" t="s">
        <v>1189</v>
      </c>
      <c r="D102" s="265" t="s">
        <v>1190</v>
      </c>
      <c r="E102" s="4"/>
    </row>
    <row r="103" spans="1:5" x14ac:dyDescent="0.2">
      <c r="A103" s="264" t="s">
        <v>1175</v>
      </c>
      <c r="B103" s="264" t="s">
        <v>1191</v>
      </c>
      <c r="C103" s="264" t="s">
        <v>1192</v>
      </c>
      <c r="D103" s="265" t="s">
        <v>1193</v>
      </c>
      <c r="E103" s="4"/>
    </row>
    <row r="104" spans="1:5" x14ac:dyDescent="0.2">
      <c r="A104" s="264" t="s">
        <v>1175</v>
      </c>
      <c r="B104" s="264" t="s">
        <v>1194</v>
      </c>
      <c r="C104" s="264" t="s">
        <v>1195</v>
      </c>
      <c r="D104" s="265" t="s">
        <v>1196</v>
      </c>
      <c r="E104" s="4"/>
    </row>
    <row r="105" spans="1:5" x14ac:dyDescent="0.2">
      <c r="A105" s="264" t="s">
        <v>1175</v>
      </c>
      <c r="B105" s="264" t="s">
        <v>1167</v>
      </c>
      <c r="C105" s="264" t="s">
        <v>1197</v>
      </c>
      <c r="D105" s="265" t="s">
        <v>1198</v>
      </c>
      <c r="E105" s="4"/>
    </row>
    <row r="106" spans="1:5" x14ac:dyDescent="0.2">
      <c r="A106" s="264" t="s">
        <v>1175</v>
      </c>
      <c r="B106" s="264" t="s">
        <v>1170</v>
      </c>
      <c r="C106" s="264" t="s">
        <v>1199</v>
      </c>
      <c r="D106" s="265" t="s">
        <v>1200</v>
      </c>
      <c r="E106" s="4"/>
    </row>
    <row r="107" spans="1:5" x14ac:dyDescent="0.2">
      <c r="A107" s="264" t="s">
        <v>1175</v>
      </c>
      <c r="B107" s="264" t="s">
        <v>1173</v>
      </c>
      <c r="C107" s="264" t="s">
        <v>1050</v>
      </c>
      <c r="D107" s="265" t="s">
        <v>1051</v>
      </c>
      <c r="E107" s="4"/>
    </row>
    <row r="108" spans="1:5" x14ac:dyDescent="0.2">
      <c r="A108" s="264" t="s">
        <v>1175</v>
      </c>
      <c r="B108" s="264" t="s">
        <v>1174</v>
      </c>
      <c r="C108" s="264" t="s">
        <v>1052</v>
      </c>
      <c r="D108" s="265" t="s">
        <v>1053</v>
      </c>
      <c r="E108" s="4"/>
    </row>
    <row r="109" spans="1:5" x14ac:dyDescent="0.2">
      <c r="A109" s="13"/>
      <c r="B109" s="13"/>
      <c r="C109" s="13"/>
      <c r="E109" s="4"/>
    </row>
    <row r="110" spans="1:5" x14ac:dyDescent="0.2">
      <c r="A110" s="264" t="s">
        <v>1201</v>
      </c>
      <c r="B110" s="264">
        <v>1</v>
      </c>
      <c r="C110" s="264" t="s">
        <v>1202</v>
      </c>
      <c r="D110" s="265" t="s">
        <v>1203</v>
      </c>
      <c r="E110" s="4"/>
    </row>
    <row r="111" spans="1:5" x14ac:dyDescent="0.2">
      <c r="A111" s="264" t="s">
        <v>1201</v>
      </c>
      <c r="B111" s="264">
        <v>2</v>
      </c>
      <c r="C111" s="264" t="s">
        <v>1204</v>
      </c>
      <c r="D111" s="265" t="s">
        <v>1205</v>
      </c>
      <c r="E111" s="4"/>
    </row>
    <row r="112" spans="1:5" x14ac:dyDescent="0.2">
      <c r="A112" s="264" t="s">
        <v>1201</v>
      </c>
      <c r="B112" s="264">
        <v>3</v>
      </c>
      <c r="C112" s="264" t="s">
        <v>1206</v>
      </c>
      <c r="D112" s="265" t="s">
        <v>1207</v>
      </c>
      <c r="E112" s="4"/>
    </row>
    <row r="113" spans="1:5" x14ac:dyDescent="0.2">
      <c r="A113" s="264" t="s">
        <v>1201</v>
      </c>
      <c r="B113" s="264">
        <v>4</v>
      </c>
      <c r="C113" s="264" t="s">
        <v>1208</v>
      </c>
      <c r="D113" s="265" t="s">
        <v>1209</v>
      </c>
      <c r="E113" s="4"/>
    </row>
    <row r="114" spans="1:5" x14ac:dyDescent="0.2">
      <c r="A114" s="264" t="s">
        <v>1201</v>
      </c>
      <c r="B114" s="264">
        <v>5</v>
      </c>
      <c r="C114" s="264" t="s">
        <v>1210</v>
      </c>
      <c r="D114" s="265" t="s">
        <v>1211</v>
      </c>
      <c r="E114" s="4"/>
    </row>
    <row r="115" spans="1:5" x14ac:dyDescent="0.2">
      <c r="A115" s="264" t="s">
        <v>1201</v>
      </c>
      <c r="B115" s="264">
        <v>6</v>
      </c>
      <c r="C115" s="264" t="s">
        <v>1212</v>
      </c>
      <c r="D115" s="265" t="s">
        <v>1051</v>
      </c>
      <c r="E115" s="4"/>
    </row>
    <row r="116" spans="1:5" x14ac:dyDescent="0.2">
      <c r="A116" s="264" t="s">
        <v>1201</v>
      </c>
      <c r="B116" s="264">
        <v>7</v>
      </c>
      <c r="C116" s="264" t="s">
        <v>1213</v>
      </c>
      <c r="D116" s="265" t="s">
        <v>1053</v>
      </c>
      <c r="E116" s="4"/>
    </row>
    <row r="117" spans="1:5" x14ac:dyDescent="0.2">
      <c r="A117" s="13"/>
      <c r="B117" s="13"/>
      <c r="C117" s="13"/>
      <c r="D117" s="249"/>
      <c r="E117" s="4"/>
    </row>
    <row r="118" spans="1:5" x14ac:dyDescent="0.2">
      <c r="A118" s="264" t="s">
        <v>1214</v>
      </c>
      <c r="B118" s="264">
        <v>1</v>
      </c>
      <c r="C118" s="264" t="s">
        <v>1215</v>
      </c>
      <c r="D118" s="265" t="s">
        <v>1216</v>
      </c>
      <c r="E118" s="4"/>
    </row>
    <row r="119" spans="1:5" x14ac:dyDescent="0.2">
      <c r="A119" s="264" t="s">
        <v>1214</v>
      </c>
      <c r="B119" s="264">
        <v>2</v>
      </c>
      <c r="C119" s="264" t="s">
        <v>1217</v>
      </c>
      <c r="D119" s="265" t="s">
        <v>1218</v>
      </c>
      <c r="E119" s="4"/>
    </row>
    <row r="120" spans="1:5" x14ac:dyDescent="0.2">
      <c r="A120" s="264" t="s">
        <v>1214</v>
      </c>
      <c r="B120" s="264">
        <v>3</v>
      </c>
      <c r="C120" s="264" t="s">
        <v>1219</v>
      </c>
      <c r="D120" s="265" t="s">
        <v>1220</v>
      </c>
      <c r="E120" s="4"/>
    </row>
    <row r="121" spans="1:5" x14ac:dyDescent="0.2">
      <c r="A121" s="264" t="s">
        <v>1214</v>
      </c>
      <c r="B121" s="264">
        <v>4</v>
      </c>
      <c r="C121" s="264" t="s">
        <v>1221</v>
      </c>
      <c r="D121" s="265" t="s">
        <v>1222</v>
      </c>
      <c r="E121" s="4"/>
    </row>
    <row r="122" spans="1:5" x14ac:dyDescent="0.2">
      <c r="A122" s="264" t="s">
        <v>1214</v>
      </c>
      <c r="B122" s="264">
        <v>5</v>
      </c>
      <c r="C122" s="264" t="s">
        <v>1050</v>
      </c>
      <c r="D122" s="265" t="s">
        <v>1051</v>
      </c>
      <c r="E122" s="4"/>
    </row>
    <row r="123" spans="1:5" x14ac:dyDescent="0.2">
      <c r="A123" s="264" t="s">
        <v>1214</v>
      </c>
      <c r="B123" s="264">
        <v>6</v>
      </c>
      <c r="C123" s="264" t="s">
        <v>1052</v>
      </c>
      <c r="D123" s="265" t="s">
        <v>1053</v>
      </c>
      <c r="E123" s="4"/>
    </row>
    <row r="124" spans="1:5" x14ac:dyDescent="0.2">
      <c r="A124" s="13"/>
      <c r="B124" s="13"/>
      <c r="C124" s="13"/>
      <c r="D124" s="13"/>
      <c r="E124" s="4"/>
    </row>
    <row r="125" spans="1:5" x14ac:dyDescent="0.2">
      <c r="A125" t="s">
        <v>1223</v>
      </c>
      <c r="B125">
        <v>1</v>
      </c>
      <c r="C125" t="s">
        <v>1224</v>
      </c>
      <c r="D125" t="s">
        <v>1225</v>
      </c>
      <c r="E125" s="4"/>
    </row>
    <row r="126" spans="1:5" x14ac:dyDescent="0.2">
      <c r="A126" t="s">
        <v>1223</v>
      </c>
      <c r="B126">
        <v>2</v>
      </c>
      <c r="C126" t="s">
        <v>1226</v>
      </c>
      <c r="D126" t="s">
        <v>1227</v>
      </c>
      <c r="E126" s="4"/>
    </row>
    <row r="127" spans="1:5" x14ac:dyDescent="0.2">
      <c r="A127" t="s">
        <v>1223</v>
      </c>
      <c r="B127">
        <v>3</v>
      </c>
      <c r="C127" t="s">
        <v>1228</v>
      </c>
      <c r="D127" t="s">
        <v>1229</v>
      </c>
      <c r="E127" s="4"/>
    </row>
    <row r="128" spans="1:5" x14ac:dyDescent="0.2">
      <c r="A128" t="s">
        <v>1223</v>
      </c>
      <c r="B128">
        <v>4</v>
      </c>
      <c r="C128" t="s">
        <v>1230</v>
      </c>
      <c r="D128" t="s">
        <v>1231</v>
      </c>
      <c r="E128" s="4"/>
    </row>
    <row r="129" spans="1:5" x14ac:dyDescent="0.2">
      <c r="A129" t="s">
        <v>1223</v>
      </c>
      <c r="B129">
        <v>5</v>
      </c>
      <c r="C129" t="s">
        <v>1232</v>
      </c>
      <c r="D129" t="s">
        <v>1233</v>
      </c>
      <c r="E129" s="4"/>
    </row>
    <row r="130" spans="1:5" x14ac:dyDescent="0.2">
      <c r="A130" t="s">
        <v>1223</v>
      </c>
      <c r="B130">
        <v>6</v>
      </c>
      <c r="C130" t="s">
        <v>1234</v>
      </c>
      <c r="D130" t="s">
        <v>1235</v>
      </c>
      <c r="E130" s="4"/>
    </row>
    <row r="131" spans="1:5" x14ac:dyDescent="0.2">
      <c r="A131" t="s">
        <v>1223</v>
      </c>
      <c r="B131">
        <v>7</v>
      </c>
      <c r="C131" t="s">
        <v>1236</v>
      </c>
      <c r="D131" t="s">
        <v>1237</v>
      </c>
      <c r="E131" s="4"/>
    </row>
    <row r="132" spans="1:5" x14ac:dyDescent="0.2">
      <c r="A132" t="s">
        <v>1223</v>
      </c>
      <c r="B132">
        <v>8</v>
      </c>
      <c r="C132" t="s">
        <v>1238</v>
      </c>
      <c r="D132" t="s">
        <v>1239</v>
      </c>
      <c r="E132" s="4"/>
    </row>
    <row r="133" spans="1:5" x14ac:dyDescent="0.2">
      <c r="A133" t="s">
        <v>1223</v>
      </c>
      <c r="B133">
        <v>9</v>
      </c>
      <c r="C133" t="s">
        <v>1240</v>
      </c>
      <c r="D133" t="s">
        <v>1241</v>
      </c>
      <c r="E133" s="4"/>
    </row>
    <row r="134" spans="1:5" x14ac:dyDescent="0.2">
      <c r="A134" t="s">
        <v>1223</v>
      </c>
      <c r="B134">
        <v>10</v>
      </c>
      <c r="C134" t="s">
        <v>1242</v>
      </c>
      <c r="D134" t="s">
        <v>1243</v>
      </c>
      <c r="E134" s="4"/>
    </row>
    <row r="135" spans="1:5" x14ac:dyDescent="0.2">
      <c r="A135" t="s">
        <v>1223</v>
      </c>
      <c r="B135">
        <v>11</v>
      </c>
      <c r="C135" t="s">
        <v>1244</v>
      </c>
      <c r="D135" t="s">
        <v>1245</v>
      </c>
      <c r="E135" s="4"/>
    </row>
    <row r="136" spans="1:5" x14ac:dyDescent="0.2">
      <c r="A136" t="s">
        <v>1223</v>
      </c>
      <c r="B136">
        <v>12</v>
      </c>
      <c r="C136" t="s">
        <v>1246</v>
      </c>
      <c r="D136" t="s">
        <v>1247</v>
      </c>
      <c r="E136" s="4"/>
    </row>
    <row r="137" spans="1:5" x14ac:dyDescent="0.2">
      <c r="A137" t="s">
        <v>1223</v>
      </c>
      <c r="B137">
        <v>13</v>
      </c>
      <c r="C137" t="s">
        <v>1248</v>
      </c>
      <c r="D137" t="s">
        <v>1249</v>
      </c>
      <c r="E137" s="4"/>
    </row>
    <row r="138" spans="1:5" x14ac:dyDescent="0.2">
      <c r="A138" t="s">
        <v>1223</v>
      </c>
      <c r="B138">
        <v>14</v>
      </c>
      <c r="C138" t="s">
        <v>1250</v>
      </c>
      <c r="D138" t="s">
        <v>1251</v>
      </c>
      <c r="E138" s="4"/>
    </row>
    <row r="139" spans="1:5" x14ac:dyDescent="0.2">
      <c r="A139" t="s">
        <v>1223</v>
      </c>
      <c r="B139">
        <v>15</v>
      </c>
      <c r="C139" t="s">
        <v>1252</v>
      </c>
      <c r="D139" t="s">
        <v>1253</v>
      </c>
      <c r="E139" s="4"/>
    </row>
    <row r="140" spans="1:5" x14ac:dyDescent="0.2">
      <c r="A140" t="s">
        <v>1223</v>
      </c>
      <c r="B140">
        <v>16</v>
      </c>
      <c r="C140" t="s">
        <v>1254</v>
      </c>
      <c r="D140" t="s">
        <v>1255</v>
      </c>
      <c r="E140" s="4"/>
    </row>
    <row r="141" spans="1:5" x14ac:dyDescent="0.2">
      <c r="A141" t="s">
        <v>1223</v>
      </c>
      <c r="B141">
        <v>17</v>
      </c>
      <c r="C141" t="s">
        <v>1256</v>
      </c>
      <c r="D141" t="s">
        <v>1257</v>
      </c>
      <c r="E141" s="4"/>
    </row>
    <row r="142" spans="1:5" x14ac:dyDescent="0.2">
      <c r="A142" t="s">
        <v>1223</v>
      </c>
      <c r="B142">
        <v>18</v>
      </c>
      <c r="C142" t="s">
        <v>1258</v>
      </c>
      <c r="D142" t="s">
        <v>1259</v>
      </c>
      <c r="E142" s="4"/>
    </row>
    <row r="143" spans="1:5" x14ac:dyDescent="0.2">
      <c r="A143" t="s">
        <v>1223</v>
      </c>
      <c r="B143">
        <v>19</v>
      </c>
      <c r="C143" t="s">
        <v>1260</v>
      </c>
      <c r="D143" t="s">
        <v>1261</v>
      </c>
      <c r="E143" s="4"/>
    </row>
    <row r="144" spans="1:5" x14ac:dyDescent="0.2">
      <c r="A144" t="s">
        <v>1223</v>
      </c>
      <c r="B144">
        <v>20</v>
      </c>
      <c r="C144" t="s">
        <v>1052</v>
      </c>
      <c r="D144" t="s">
        <v>1053</v>
      </c>
      <c r="E144" s="4"/>
    </row>
    <row r="145" spans="1:5" x14ac:dyDescent="0.2">
      <c r="E145" s="4"/>
    </row>
    <row r="146" spans="1:5" x14ac:dyDescent="0.2">
      <c r="A146" t="s">
        <v>1262</v>
      </c>
      <c r="B146">
        <v>1</v>
      </c>
      <c r="C146" t="s">
        <v>1067</v>
      </c>
      <c r="D146" t="s">
        <v>1068</v>
      </c>
      <c r="E146" s="4"/>
    </row>
    <row r="147" spans="1:5" x14ac:dyDescent="0.2">
      <c r="A147" t="s">
        <v>1262</v>
      </c>
      <c r="B147">
        <v>2</v>
      </c>
      <c r="C147" t="s">
        <v>1069</v>
      </c>
      <c r="D147" t="s">
        <v>1070</v>
      </c>
      <c r="E147" s="4"/>
    </row>
    <row r="148" spans="1:5" x14ac:dyDescent="0.2">
      <c r="A148" t="s">
        <v>1262</v>
      </c>
      <c r="B148">
        <v>3</v>
      </c>
      <c r="C148" t="s">
        <v>1263</v>
      </c>
      <c r="D148" t="s">
        <v>1264</v>
      </c>
      <c r="E148" s="4"/>
    </row>
    <row r="149" spans="1:5" x14ac:dyDescent="0.2">
      <c r="A149" t="s">
        <v>1262</v>
      </c>
      <c r="B149">
        <v>4</v>
      </c>
      <c r="C149" t="s">
        <v>1050</v>
      </c>
      <c r="D149" t="s">
        <v>1051</v>
      </c>
      <c r="E149" s="4"/>
    </row>
    <row r="150" spans="1:5" x14ac:dyDescent="0.2">
      <c r="A150" t="s">
        <v>1262</v>
      </c>
      <c r="B150">
        <v>5</v>
      </c>
      <c r="C150" t="s">
        <v>1052</v>
      </c>
      <c r="D150" t="s">
        <v>1053</v>
      </c>
      <c r="E150" s="4"/>
    </row>
    <row r="151" spans="1:5" x14ac:dyDescent="0.2">
      <c r="E151" s="4"/>
    </row>
    <row r="152" spans="1:5" x14ac:dyDescent="0.2">
      <c r="A152" t="s">
        <v>1265</v>
      </c>
      <c r="B152">
        <v>1</v>
      </c>
      <c r="C152" t="s">
        <v>1266</v>
      </c>
      <c r="D152" t="s">
        <v>1267</v>
      </c>
      <c r="E152" s="4"/>
    </row>
    <row r="153" spans="1:5" x14ac:dyDescent="0.2">
      <c r="A153" t="s">
        <v>1265</v>
      </c>
      <c r="B153">
        <v>2</v>
      </c>
      <c r="C153" t="s">
        <v>1268</v>
      </c>
      <c r="D153" t="s">
        <v>1269</v>
      </c>
      <c r="E153" s="4"/>
    </row>
    <row r="154" spans="1:5" x14ac:dyDescent="0.2">
      <c r="A154" t="s">
        <v>1265</v>
      </c>
      <c r="B154">
        <v>3</v>
      </c>
      <c r="C154" t="s">
        <v>1270</v>
      </c>
      <c r="D154" t="s">
        <v>1271</v>
      </c>
      <c r="E154" s="4"/>
    </row>
    <row r="155" spans="1:5" x14ac:dyDescent="0.2">
      <c r="A155" t="s">
        <v>1265</v>
      </c>
      <c r="B155">
        <v>4</v>
      </c>
      <c r="C155" t="s">
        <v>1050</v>
      </c>
      <c r="D155" t="s">
        <v>1051</v>
      </c>
      <c r="E155" s="4"/>
    </row>
    <row r="156" spans="1:5" x14ac:dyDescent="0.2">
      <c r="A156" t="s">
        <v>1265</v>
      </c>
      <c r="B156">
        <v>5</v>
      </c>
      <c r="C156" t="s">
        <v>1052</v>
      </c>
      <c r="D156" t="s">
        <v>1053</v>
      </c>
      <c r="E156" s="4"/>
    </row>
    <row r="157" spans="1:5" x14ac:dyDescent="0.2">
      <c r="E157" s="4"/>
    </row>
    <row r="158" spans="1:5" x14ac:dyDescent="0.2">
      <c r="A158" t="s">
        <v>1272</v>
      </c>
      <c r="B158">
        <v>1</v>
      </c>
      <c r="C158" t="s">
        <v>1273</v>
      </c>
      <c r="D158" t="s">
        <v>1274</v>
      </c>
      <c r="E158" s="4"/>
    </row>
    <row r="159" spans="1:5" x14ac:dyDescent="0.2">
      <c r="A159" t="s">
        <v>1272</v>
      </c>
      <c r="B159">
        <v>2</v>
      </c>
      <c r="C159" t="s">
        <v>1275</v>
      </c>
      <c r="D159" t="s">
        <v>1276</v>
      </c>
      <c r="E159" s="4"/>
    </row>
    <row r="160" spans="1:5" x14ac:dyDescent="0.2">
      <c r="A160" t="s">
        <v>1272</v>
      </c>
      <c r="B160">
        <v>3</v>
      </c>
      <c r="C160" t="s">
        <v>1277</v>
      </c>
      <c r="D160" t="s">
        <v>1278</v>
      </c>
      <c r="E160" s="4"/>
    </row>
    <row r="161" spans="1:5" x14ac:dyDescent="0.2">
      <c r="A161" t="s">
        <v>1272</v>
      </c>
      <c r="B161">
        <v>4</v>
      </c>
      <c r="C161" t="s">
        <v>1279</v>
      </c>
      <c r="D161" t="s">
        <v>1280</v>
      </c>
      <c r="E161" s="4"/>
    </row>
    <row r="162" spans="1:5" x14ac:dyDescent="0.2">
      <c r="A162" t="s">
        <v>1272</v>
      </c>
      <c r="B162">
        <v>5</v>
      </c>
      <c r="C162" t="s">
        <v>1281</v>
      </c>
      <c r="D162" t="s">
        <v>1282</v>
      </c>
      <c r="E162" s="4"/>
    </row>
    <row r="163" spans="1:5" x14ac:dyDescent="0.2">
      <c r="A163" t="s">
        <v>1272</v>
      </c>
      <c r="B163" s="262">
        <v>6</v>
      </c>
      <c r="C163" t="s">
        <v>1050</v>
      </c>
      <c r="D163" t="s">
        <v>1051</v>
      </c>
      <c r="E163" s="4"/>
    </row>
    <row r="164" spans="1:5" x14ac:dyDescent="0.2">
      <c r="A164" t="s">
        <v>1272</v>
      </c>
      <c r="B164" s="262">
        <v>7</v>
      </c>
      <c r="C164" t="s">
        <v>1052</v>
      </c>
      <c r="D164" t="s">
        <v>1053</v>
      </c>
      <c r="E164" s="4"/>
    </row>
    <row r="165" spans="1:5" x14ac:dyDescent="0.2">
      <c r="E165" s="4"/>
    </row>
    <row r="166" spans="1:5" s="14" customFormat="1" x14ac:dyDescent="0.2">
      <c r="A166" s="263" t="s">
        <v>1283</v>
      </c>
      <c r="B166">
        <v>1</v>
      </c>
      <c r="C166" t="s">
        <v>1224</v>
      </c>
      <c r="D166" t="s">
        <v>1225</v>
      </c>
      <c r="E166" s="5"/>
    </row>
    <row r="167" spans="1:5" s="14" customFormat="1" x14ac:dyDescent="0.2">
      <c r="A167" s="263" t="s">
        <v>1283</v>
      </c>
      <c r="B167">
        <v>2</v>
      </c>
      <c r="C167" t="s">
        <v>1226</v>
      </c>
      <c r="D167" t="s">
        <v>1227</v>
      </c>
      <c r="E167" s="5"/>
    </row>
    <row r="168" spans="1:5" s="14" customFormat="1" x14ac:dyDescent="0.2">
      <c r="A168" s="263" t="s">
        <v>1283</v>
      </c>
      <c r="B168">
        <v>3</v>
      </c>
      <c r="C168" t="s">
        <v>1228</v>
      </c>
      <c r="D168" t="s">
        <v>1229</v>
      </c>
      <c r="E168" s="5"/>
    </row>
    <row r="169" spans="1:5" s="14" customFormat="1" x14ac:dyDescent="0.2">
      <c r="A169" s="263" t="s">
        <v>1283</v>
      </c>
      <c r="B169">
        <v>4</v>
      </c>
      <c r="C169" t="s">
        <v>1230</v>
      </c>
      <c r="D169" t="s">
        <v>1231</v>
      </c>
      <c r="E169" s="5"/>
    </row>
    <row r="170" spans="1:5" s="14" customFormat="1" x14ac:dyDescent="0.2">
      <c r="A170" s="263" t="s">
        <v>1283</v>
      </c>
      <c r="B170">
        <v>5</v>
      </c>
      <c r="C170" t="s">
        <v>1232</v>
      </c>
      <c r="D170" t="s">
        <v>1233</v>
      </c>
      <c r="E170" s="5"/>
    </row>
    <row r="171" spans="1:5" s="14" customFormat="1" x14ac:dyDescent="0.2">
      <c r="A171" s="263" t="s">
        <v>1283</v>
      </c>
      <c r="B171">
        <v>6</v>
      </c>
      <c r="C171" t="s">
        <v>1234</v>
      </c>
      <c r="D171" t="s">
        <v>1235</v>
      </c>
      <c r="E171" s="5"/>
    </row>
    <row r="172" spans="1:5" s="14" customFormat="1" x14ac:dyDescent="0.2">
      <c r="A172" s="263" t="s">
        <v>1283</v>
      </c>
      <c r="B172">
        <v>7</v>
      </c>
      <c r="C172" t="s">
        <v>1236</v>
      </c>
      <c r="D172" t="s">
        <v>1237</v>
      </c>
      <c r="E172" s="5"/>
    </row>
    <row r="173" spans="1:5" s="14" customFormat="1" x14ac:dyDescent="0.2">
      <c r="A173" s="263" t="s">
        <v>1283</v>
      </c>
      <c r="B173">
        <v>8</v>
      </c>
      <c r="C173" t="s">
        <v>1238</v>
      </c>
      <c r="D173" t="s">
        <v>1239</v>
      </c>
      <c r="E173" s="5"/>
    </row>
    <row r="174" spans="1:5" s="14" customFormat="1" x14ac:dyDescent="0.2">
      <c r="A174" s="263" t="s">
        <v>1283</v>
      </c>
      <c r="B174">
        <v>9</v>
      </c>
      <c r="C174" t="s">
        <v>1240</v>
      </c>
      <c r="D174" t="s">
        <v>1241</v>
      </c>
      <c r="E174" s="5"/>
    </row>
    <row r="175" spans="1:5" s="14" customFormat="1" x14ac:dyDescent="0.2">
      <c r="A175" s="263" t="s">
        <v>1283</v>
      </c>
      <c r="B175">
        <v>10</v>
      </c>
      <c r="C175" t="s">
        <v>1242</v>
      </c>
      <c r="D175" t="s">
        <v>1243</v>
      </c>
      <c r="E175" s="5"/>
    </row>
    <row r="176" spans="1:5" s="14" customFormat="1" x14ac:dyDescent="0.2">
      <c r="A176" s="263" t="s">
        <v>1283</v>
      </c>
      <c r="B176">
        <v>11</v>
      </c>
      <c r="C176" t="s">
        <v>1244</v>
      </c>
      <c r="D176" t="s">
        <v>1245</v>
      </c>
      <c r="E176" s="5"/>
    </row>
    <row r="177" spans="1:5" s="14" customFormat="1" x14ac:dyDescent="0.2">
      <c r="A177" s="263" t="s">
        <v>1283</v>
      </c>
      <c r="B177">
        <v>12</v>
      </c>
      <c r="C177" t="s">
        <v>1246</v>
      </c>
      <c r="D177" t="s">
        <v>1247</v>
      </c>
      <c r="E177" s="5"/>
    </row>
    <row r="178" spans="1:5" s="14" customFormat="1" x14ac:dyDescent="0.2">
      <c r="A178" s="263" t="s">
        <v>1283</v>
      </c>
      <c r="B178">
        <v>13</v>
      </c>
      <c r="C178" t="s">
        <v>1248</v>
      </c>
      <c r="D178" t="s">
        <v>1249</v>
      </c>
      <c r="E178" s="5"/>
    </row>
    <row r="179" spans="1:5" s="14" customFormat="1" x14ac:dyDescent="0.2">
      <c r="A179" s="263" t="s">
        <v>1283</v>
      </c>
      <c r="B179">
        <v>14</v>
      </c>
      <c r="C179" t="s">
        <v>1250</v>
      </c>
      <c r="D179" t="s">
        <v>1251</v>
      </c>
      <c r="E179" s="5"/>
    </row>
    <row r="180" spans="1:5" s="14" customFormat="1" x14ac:dyDescent="0.2">
      <c r="A180" s="263" t="s">
        <v>1283</v>
      </c>
      <c r="B180" s="263">
        <v>15</v>
      </c>
      <c r="C180" s="263" t="s">
        <v>1252</v>
      </c>
      <c r="D180" t="s">
        <v>1253</v>
      </c>
      <c r="E180" s="5"/>
    </row>
    <row r="181" spans="1:5" s="14" customFormat="1" x14ac:dyDescent="0.2">
      <c r="A181" s="263" t="s">
        <v>1283</v>
      </c>
      <c r="B181" s="263">
        <v>16</v>
      </c>
      <c r="C181" s="263" t="s">
        <v>1254</v>
      </c>
      <c r="D181" t="s">
        <v>1255</v>
      </c>
      <c r="E181" s="5"/>
    </row>
    <row r="182" spans="1:5" s="14" customFormat="1" x14ac:dyDescent="0.2">
      <c r="A182" s="263" t="s">
        <v>1283</v>
      </c>
      <c r="B182" s="263">
        <v>17</v>
      </c>
      <c r="C182" s="263" t="s">
        <v>1256</v>
      </c>
      <c r="D182" t="s">
        <v>1257</v>
      </c>
      <c r="E182" s="5"/>
    </row>
    <row r="183" spans="1:5" s="14" customFormat="1" x14ac:dyDescent="0.2">
      <c r="A183" s="263" t="s">
        <v>1283</v>
      </c>
      <c r="B183" s="263">
        <v>18</v>
      </c>
      <c r="C183" s="263" t="s">
        <v>1284</v>
      </c>
      <c r="D183" t="s">
        <v>1259</v>
      </c>
      <c r="E183" s="5"/>
    </row>
    <row r="184" spans="1:5" s="14" customFormat="1" x14ac:dyDescent="0.2">
      <c r="A184" s="263" t="s">
        <v>1283</v>
      </c>
      <c r="B184" s="263">
        <v>19</v>
      </c>
      <c r="C184" s="263" t="s">
        <v>1285</v>
      </c>
      <c r="D184" t="s">
        <v>1286</v>
      </c>
      <c r="E184" s="5"/>
    </row>
    <row r="185" spans="1:5" s="14" customFormat="1" x14ac:dyDescent="0.2">
      <c r="A185" s="263" t="s">
        <v>1283</v>
      </c>
      <c r="B185" s="262">
        <v>20</v>
      </c>
      <c r="C185" s="263" t="s">
        <v>1050</v>
      </c>
      <c r="D185" s="263" t="s">
        <v>1051</v>
      </c>
      <c r="E185" s="5"/>
    </row>
    <row r="186" spans="1:5" s="14" customFormat="1" x14ac:dyDescent="0.2">
      <c r="A186" s="263" t="s">
        <v>1283</v>
      </c>
      <c r="B186" s="262">
        <v>21</v>
      </c>
      <c r="C186" s="263" t="s">
        <v>1052</v>
      </c>
      <c r="D186" t="s">
        <v>1053</v>
      </c>
      <c r="E186" s="5"/>
    </row>
    <row r="187" spans="1:5" s="14" customFormat="1" x14ac:dyDescent="0.2">
      <c r="D187" s="3"/>
      <c r="E187" s="5"/>
    </row>
    <row r="188" spans="1:5" s="14" customFormat="1" x14ac:dyDescent="0.2">
      <c r="A188" s="263" t="s">
        <v>1287</v>
      </c>
      <c r="B188">
        <v>1</v>
      </c>
      <c r="C188" t="s">
        <v>1224</v>
      </c>
      <c r="D188" t="s">
        <v>1225</v>
      </c>
      <c r="E188" s="5"/>
    </row>
    <row r="189" spans="1:5" s="14" customFormat="1" x14ac:dyDescent="0.2">
      <c r="A189" s="263" t="s">
        <v>1287</v>
      </c>
      <c r="B189">
        <v>2</v>
      </c>
      <c r="C189" t="s">
        <v>1226</v>
      </c>
      <c r="D189" t="s">
        <v>1227</v>
      </c>
      <c r="E189" s="5"/>
    </row>
    <row r="190" spans="1:5" s="14" customFormat="1" x14ac:dyDescent="0.2">
      <c r="A190" s="263" t="s">
        <v>1287</v>
      </c>
      <c r="B190">
        <v>3</v>
      </c>
      <c r="C190" t="s">
        <v>1228</v>
      </c>
      <c r="D190" t="s">
        <v>1229</v>
      </c>
      <c r="E190" s="5"/>
    </row>
    <row r="191" spans="1:5" s="14" customFormat="1" x14ac:dyDescent="0.2">
      <c r="A191" s="263" t="s">
        <v>1287</v>
      </c>
      <c r="B191">
        <v>4</v>
      </c>
      <c r="C191" t="s">
        <v>1230</v>
      </c>
      <c r="D191" t="s">
        <v>1231</v>
      </c>
      <c r="E191" s="5"/>
    </row>
    <row r="192" spans="1:5" s="14" customFormat="1" x14ac:dyDescent="0.2">
      <c r="A192" s="263" t="s">
        <v>1287</v>
      </c>
      <c r="B192">
        <v>5</v>
      </c>
      <c r="C192" t="s">
        <v>1232</v>
      </c>
      <c r="D192" t="s">
        <v>1233</v>
      </c>
      <c r="E192" s="5"/>
    </row>
    <row r="193" spans="1:5" s="14" customFormat="1" x14ac:dyDescent="0.2">
      <c r="A193" s="263" t="s">
        <v>1287</v>
      </c>
      <c r="B193">
        <v>6</v>
      </c>
      <c r="C193" t="s">
        <v>1234</v>
      </c>
      <c r="D193" t="s">
        <v>1235</v>
      </c>
      <c r="E193" s="5"/>
    </row>
    <row r="194" spans="1:5" s="14" customFormat="1" x14ac:dyDescent="0.2">
      <c r="A194" s="263" t="s">
        <v>1287</v>
      </c>
      <c r="B194">
        <v>7</v>
      </c>
      <c r="C194" t="s">
        <v>1236</v>
      </c>
      <c r="D194" t="s">
        <v>1237</v>
      </c>
      <c r="E194" s="5"/>
    </row>
    <row r="195" spans="1:5" s="14" customFormat="1" x14ac:dyDescent="0.2">
      <c r="A195" s="263" t="s">
        <v>1287</v>
      </c>
      <c r="B195">
        <v>8</v>
      </c>
      <c r="C195" t="s">
        <v>1238</v>
      </c>
      <c r="D195" t="s">
        <v>1239</v>
      </c>
      <c r="E195" s="5"/>
    </row>
    <row r="196" spans="1:5" s="14" customFormat="1" x14ac:dyDescent="0.2">
      <c r="A196" s="263" t="s">
        <v>1287</v>
      </c>
      <c r="B196">
        <v>9</v>
      </c>
      <c r="C196" t="s">
        <v>1240</v>
      </c>
      <c r="D196" t="s">
        <v>1241</v>
      </c>
      <c r="E196" s="5"/>
    </row>
    <row r="197" spans="1:5" s="14" customFormat="1" x14ac:dyDescent="0.2">
      <c r="A197" s="263" t="s">
        <v>1287</v>
      </c>
      <c r="B197">
        <v>10</v>
      </c>
      <c r="C197" t="s">
        <v>1242</v>
      </c>
      <c r="D197" t="s">
        <v>1243</v>
      </c>
      <c r="E197" s="5"/>
    </row>
    <row r="198" spans="1:5" s="14" customFormat="1" x14ac:dyDescent="0.2">
      <c r="A198" s="263" t="s">
        <v>1287</v>
      </c>
      <c r="B198">
        <v>11</v>
      </c>
      <c r="C198" t="s">
        <v>1244</v>
      </c>
      <c r="D198" t="s">
        <v>1245</v>
      </c>
      <c r="E198" s="5"/>
    </row>
    <row r="199" spans="1:5" s="14" customFormat="1" x14ac:dyDescent="0.2">
      <c r="A199" s="263" t="s">
        <v>1287</v>
      </c>
      <c r="B199">
        <v>12</v>
      </c>
      <c r="C199" t="s">
        <v>1246</v>
      </c>
      <c r="D199" t="s">
        <v>1247</v>
      </c>
      <c r="E199" s="5"/>
    </row>
    <row r="200" spans="1:5" s="14" customFormat="1" x14ac:dyDescent="0.2">
      <c r="A200" s="263" t="s">
        <v>1287</v>
      </c>
      <c r="B200">
        <v>13</v>
      </c>
      <c r="C200" t="s">
        <v>1248</v>
      </c>
      <c r="D200" t="s">
        <v>1249</v>
      </c>
      <c r="E200" s="5"/>
    </row>
    <row r="201" spans="1:5" s="14" customFormat="1" x14ac:dyDescent="0.2">
      <c r="A201" s="263" t="s">
        <v>1287</v>
      </c>
      <c r="B201">
        <v>14</v>
      </c>
      <c r="C201" t="s">
        <v>1250</v>
      </c>
      <c r="D201" t="s">
        <v>1251</v>
      </c>
      <c r="E201" s="5"/>
    </row>
    <row r="202" spans="1:5" s="14" customFormat="1" x14ac:dyDescent="0.2">
      <c r="A202" s="263" t="s">
        <v>1287</v>
      </c>
      <c r="B202" s="263">
        <v>15</v>
      </c>
      <c r="C202" s="263" t="s">
        <v>1252</v>
      </c>
      <c r="D202" t="s">
        <v>1253</v>
      </c>
      <c r="E202" s="5"/>
    </row>
    <row r="203" spans="1:5" s="14" customFormat="1" x14ac:dyDescent="0.2">
      <c r="A203" s="263" t="s">
        <v>1287</v>
      </c>
      <c r="B203" s="263">
        <v>16</v>
      </c>
      <c r="C203" s="263" t="s">
        <v>1254</v>
      </c>
      <c r="D203" t="s">
        <v>1255</v>
      </c>
      <c r="E203" s="5"/>
    </row>
    <row r="204" spans="1:5" s="14" customFormat="1" x14ac:dyDescent="0.2">
      <c r="A204" s="263" t="s">
        <v>1287</v>
      </c>
      <c r="B204" s="263">
        <v>17</v>
      </c>
      <c r="C204" s="263" t="s">
        <v>1256</v>
      </c>
      <c r="D204" t="s">
        <v>1257</v>
      </c>
      <c r="E204" s="5"/>
    </row>
    <row r="205" spans="1:5" s="14" customFormat="1" x14ac:dyDescent="0.2">
      <c r="A205" s="263" t="s">
        <v>1287</v>
      </c>
      <c r="B205" s="263">
        <v>18</v>
      </c>
      <c r="C205" s="263" t="s">
        <v>1288</v>
      </c>
      <c r="D205" t="s">
        <v>1259</v>
      </c>
      <c r="E205" s="5"/>
    </row>
    <row r="206" spans="1:5" s="14" customFormat="1" x14ac:dyDescent="0.2">
      <c r="A206" s="263" t="s">
        <v>1287</v>
      </c>
      <c r="B206" s="263">
        <v>19</v>
      </c>
      <c r="C206" s="263" t="s">
        <v>1289</v>
      </c>
      <c r="D206" t="s">
        <v>1290</v>
      </c>
      <c r="E206" s="5"/>
    </row>
    <row r="207" spans="1:5" s="14" customFormat="1" x14ac:dyDescent="0.2">
      <c r="A207" s="263" t="s">
        <v>1287</v>
      </c>
      <c r="B207" s="262">
        <v>20</v>
      </c>
      <c r="C207" s="263" t="s">
        <v>1050</v>
      </c>
      <c r="D207" s="263" t="s">
        <v>1051</v>
      </c>
      <c r="E207" s="5"/>
    </row>
    <row r="208" spans="1:5" s="14" customFormat="1" x14ac:dyDescent="0.2">
      <c r="A208" s="263" t="s">
        <v>1287</v>
      </c>
      <c r="B208" s="262">
        <v>21</v>
      </c>
      <c r="C208" s="263" t="s">
        <v>1052</v>
      </c>
      <c r="D208" t="s">
        <v>1053</v>
      </c>
      <c r="E208" s="5"/>
    </row>
    <row r="209" spans="1:5" s="12" customFormat="1" x14ac:dyDescent="0.2">
      <c r="D209" s="3"/>
      <c r="E209" s="8"/>
    </row>
    <row r="210" spans="1:5" x14ac:dyDescent="0.2">
      <c r="A210" t="s">
        <v>280</v>
      </c>
      <c r="B210" t="s">
        <v>1291</v>
      </c>
      <c r="C210" t="s">
        <v>1292</v>
      </c>
      <c r="D210" t="s">
        <v>1293</v>
      </c>
      <c r="E210" s="4"/>
    </row>
    <row r="211" spans="1:5" x14ac:dyDescent="0.2">
      <c r="A211" t="s">
        <v>280</v>
      </c>
      <c r="B211" t="s">
        <v>1294</v>
      </c>
      <c r="C211" t="s">
        <v>1295</v>
      </c>
      <c r="D211" t="s">
        <v>1296</v>
      </c>
      <c r="E211" s="4"/>
    </row>
    <row r="212" spans="1:5" x14ac:dyDescent="0.2">
      <c r="A212" t="s">
        <v>280</v>
      </c>
      <c r="B212" t="s">
        <v>1297</v>
      </c>
      <c r="C212" t="s">
        <v>1298</v>
      </c>
      <c r="D212" t="s">
        <v>1299</v>
      </c>
      <c r="E212" s="4"/>
    </row>
    <row r="213" spans="1:5" x14ac:dyDescent="0.2">
      <c r="A213" t="s">
        <v>280</v>
      </c>
      <c r="B213" t="s">
        <v>1300</v>
      </c>
      <c r="C213" t="s">
        <v>1301</v>
      </c>
      <c r="D213" t="s">
        <v>1302</v>
      </c>
      <c r="E213" s="4"/>
    </row>
    <row r="214" spans="1:5" x14ac:dyDescent="0.2">
      <c r="A214" t="s">
        <v>280</v>
      </c>
      <c r="B214" t="s">
        <v>1303</v>
      </c>
      <c r="C214" t="s">
        <v>1304</v>
      </c>
      <c r="D214" t="s">
        <v>1305</v>
      </c>
      <c r="E214" s="4"/>
    </row>
    <row r="215" spans="1:5" x14ac:dyDescent="0.2">
      <c r="A215" t="s">
        <v>280</v>
      </c>
      <c r="B215" t="s">
        <v>1306</v>
      </c>
      <c r="C215" t="s">
        <v>1307</v>
      </c>
      <c r="D215" t="s">
        <v>1308</v>
      </c>
      <c r="E215" s="4"/>
    </row>
    <row r="216" spans="1:5" x14ac:dyDescent="0.2">
      <c r="A216" t="s">
        <v>280</v>
      </c>
      <c r="B216" t="s">
        <v>1309</v>
      </c>
      <c r="C216" t="s">
        <v>1310</v>
      </c>
      <c r="D216" t="s">
        <v>1311</v>
      </c>
      <c r="E216" s="4"/>
    </row>
    <row r="217" spans="1:5" x14ac:dyDescent="0.2">
      <c r="A217" t="s">
        <v>280</v>
      </c>
      <c r="B217" t="s">
        <v>1312</v>
      </c>
      <c r="C217" t="s">
        <v>1313</v>
      </c>
      <c r="D217" t="s">
        <v>1314</v>
      </c>
      <c r="E217" s="4"/>
    </row>
    <row r="218" spans="1:5" x14ac:dyDescent="0.2">
      <c r="A218" t="s">
        <v>280</v>
      </c>
      <c r="B218" t="s">
        <v>1315</v>
      </c>
      <c r="C218" t="s">
        <v>1316</v>
      </c>
      <c r="D218" t="s">
        <v>1317</v>
      </c>
      <c r="E218" s="4"/>
    </row>
    <row r="219" spans="1:5" x14ac:dyDescent="0.2">
      <c r="A219" t="s">
        <v>280</v>
      </c>
      <c r="B219" t="s">
        <v>1318</v>
      </c>
      <c r="C219" t="s">
        <v>1319</v>
      </c>
      <c r="D219" t="s">
        <v>1320</v>
      </c>
      <c r="E219" s="4"/>
    </row>
    <row r="220" spans="1:5" x14ac:dyDescent="0.2">
      <c r="A220" t="s">
        <v>280</v>
      </c>
      <c r="B220" t="s">
        <v>1321</v>
      </c>
      <c r="C220" t="s">
        <v>1322</v>
      </c>
      <c r="D220" t="s">
        <v>1323</v>
      </c>
      <c r="E220" s="4"/>
    </row>
    <row r="221" spans="1:5" x14ac:dyDescent="0.2">
      <c r="A221" t="s">
        <v>280</v>
      </c>
      <c r="B221" t="s">
        <v>1324</v>
      </c>
      <c r="C221" t="s">
        <v>1325</v>
      </c>
      <c r="D221" t="s">
        <v>1326</v>
      </c>
      <c r="E221" s="4"/>
    </row>
    <row r="222" spans="1:5" x14ac:dyDescent="0.2">
      <c r="A222" t="s">
        <v>280</v>
      </c>
      <c r="B222" t="s">
        <v>1327</v>
      </c>
      <c r="C222" t="s">
        <v>1328</v>
      </c>
      <c r="D222" t="s">
        <v>1329</v>
      </c>
      <c r="E222" s="4"/>
    </row>
    <row r="223" spans="1:5" x14ac:dyDescent="0.2">
      <c r="A223" t="s">
        <v>280</v>
      </c>
      <c r="B223" t="s">
        <v>1330</v>
      </c>
      <c r="C223" t="s">
        <v>1331</v>
      </c>
      <c r="D223" t="s">
        <v>1332</v>
      </c>
      <c r="E223" s="4"/>
    </row>
    <row r="224" spans="1:5" x14ac:dyDescent="0.2">
      <c r="A224" t="s">
        <v>280</v>
      </c>
      <c r="B224" t="s">
        <v>1333</v>
      </c>
      <c r="C224" t="s">
        <v>1334</v>
      </c>
      <c r="D224" t="s">
        <v>1335</v>
      </c>
      <c r="E224" s="4"/>
    </row>
    <row r="225" spans="1:5" x14ac:dyDescent="0.2">
      <c r="A225" t="s">
        <v>280</v>
      </c>
      <c r="B225" t="s">
        <v>1336</v>
      </c>
      <c r="C225" t="s">
        <v>1337</v>
      </c>
      <c r="D225" t="s">
        <v>1338</v>
      </c>
      <c r="E225" s="4"/>
    </row>
    <row r="226" spans="1:5" x14ac:dyDescent="0.2">
      <c r="A226" t="s">
        <v>280</v>
      </c>
      <c r="B226" t="s">
        <v>1339</v>
      </c>
      <c r="C226" t="s">
        <v>1340</v>
      </c>
      <c r="D226" t="s">
        <v>1341</v>
      </c>
      <c r="E226" s="4"/>
    </row>
    <row r="227" spans="1:5" x14ac:dyDescent="0.2">
      <c r="A227" t="s">
        <v>280</v>
      </c>
      <c r="B227" t="s">
        <v>1342</v>
      </c>
      <c r="C227" t="s">
        <v>1343</v>
      </c>
      <c r="D227" t="s">
        <v>1344</v>
      </c>
      <c r="E227" s="4"/>
    </row>
    <row r="228" spans="1:5" x14ac:dyDescent="0.2">
      <c r="A228" t="s">
        <v>280</v>
      </c>
      <c r="B228" t="s">
        <v>1345</v>
      </c>
      <c r="C228" t="s">
        <v>1346</v>
      </c>
      <c r="D228" t="s">
        <v>1347</v>
      </c>
      <c r="E228" s="4"/>
    </row>
    <row r="229" spans="1:5" x14ac:dyDescent="0.2">
      <c r="A229" t="s">
        <v>280</v>
      </c>
      <c r="B229" t="s">
        <v>1348</v>
      </c>
      <c r="C229" t="s">
        <v>1349</v>
      </c>
      <c r="D229" t="s">
        <v>1350</v>
      </c>
      <c r="E229" s="4"/>
    </row>
    <row r="230" spans="1:5" x14ac:dyDescent="0.2">
      <c r="A230" t="s">
        <v>280</v>
      </c>
      <c r="B230" t="s">
        <v>1351</v>
      </c>
      <c r="C230" t="s">
        <v>1352</v>
      </c>
      <c r="D230" t="s">
        <v>1353</v>
      </c>
      <c r="E230" s="4"/>
    </row>
    <row r="231" spans="1:5" x14ac:dyDescent="0.2">
      <c r="A231" t="s">
        <v>280</v>
      </c>
      <c r="B231" t="s">
        <v>1354</v>
      </c>
      <c r="C231" t="s">
        <v>1355</v>
      </c>
      <c r="D231" t="s">
        <v>1356</v>
      </c>
      <c r="E231" s="4"/>
    </row>
    <row r="232" spans="1:5" x14ac:dyDescent="0.2">
      <c r="A232" t="s">
        <v>280</v>
      </c>
      <c r="B232" t="s">
        <v>1357</v>
      </c>
      <c r="C232" t="s">
        <v>1358</v>
      </c>
      <c r="D232" t="s">
        <v>1359</v>
      </c>
      <c r="E232" s="4"/>
    </row>
    <row r="233" spans="1:5" x14ac:dyDescent="0.2">
      <c r="A233" t="s">
        <v>280</v>
      </c>
      <c r="B233" t="s">
        <v>1360</v>
      </c>
      <c r="C233" t="s">
        <v>1361</v>
      </c>
      <c r="D233" t="s">
        <v>1362</v>
      </c>
      <c r="E233" s="4"/>
    </row>
    <row r="234" spans="1:5" x14ac:dyDescent="0.2">
      <c r="A234" t="s">
        <v>280</v>
      </c>
      <c r="B234" t="s">
        <v>1363</v>
      </c>
      <c r="C234" t="s">
        <v>1364</v>
      </c>
      <c r="D234" t="s">
        <v>1365</v>
      </c>
      <c r="E234" s="4"/>
    </row>
    <row r="235" spans="1:5" x14ac:dyDescent="0.2">
      <c r="A235" t="s">
        <v>280</v>
      </c>
      <c r="B235" t="s">
        <v>1173</v>
      </c>
      <c r="C235" t="s">
        <v>1050</v>
      </c>
      <c r="D235" t="s">
        <v>1051</v>
      </c>
      <c r="E235" s="4"/>
    </row>
    <row r="236" spans="1:5" x14ac:dyDescent="0.2">
      <c r="A236" t="s">
        <v>280</v>
      </c>
      <c r="B236" t="s">
        <v>1174</v>
      </c>
      <c r="C236" t="s">
        <v>1052</v>
      </c>
      <c r="D236" t="s">
        <v>1053</v>
      </c>
      <c r="E236" s="4"/>
    </row>
    <row r="237" spans="1:5" x14ac:dyDescent="0.2">
      <c r="E237" s="4"/>
    </row>
    <row r="238" spans="1:5" x14ac:dyDescent="0.2">
      <c r="A238" t="s">
        <v>1366</v>
      </c>
      <c r="B238" t="s">
        <v>1367</v>
      </c>
      <c r="C238" t="s">
        <v>1368</v>
      </c>
      <c r="D238" t="s">
        <v>1369</v>
      </c>
      <c r="E238" s="4"/>
    </row>
    <row r="239" spans="1:5" x14ac:dyDescent="0.2">
      <c r="A239" t="s">
        <v>1366</v>
      </c>
      <c r="B239" t="s">
        <v>1370</v>
      </c>
      <c r="C239" t="s">
        <v>1371</v>
      </c>
      <c r="D239" t="s">
        <v>1372</v>
      </c>
      <c r="E239" s="4"/>
    </row>
    <row r="240" spans="1:5" x14ac:dyDescent="0.2">
      <c r="A240" t="s">
        <v>1366</v>
      </c>
      <c r="B240" t="s">
        <v>1373</v>
      </c>
      <c r="C240" t="s">
        <v>1374</v>
      </c>
      <c r="D240" t="s">
        <v>1375</v>
      </c>
      <c r="E240" s="4"/>
    </row>
    <row r="241" spans="1:5" x14ac:dyDescent="0.2">
      <c r="A241" t="s">
        <v>1366</v>
      </c>
      <c r="B241" t="s">
        <v>1376</v>
      </c>
      <c r="C241" t="s">
        <v>1377</v>
      </c>
      <c r="D241" t="s">
        <v>1378</v>
      </c>
      <c r="E241" s="4"/>
    </row>
    <row r="242" spans="1:5" x14ac:dyDescent="0.2">
      <c r="A242" t="s">
        <v>1366</v>
      </c>
      <c r="B242" t="s">
        <v>1379</v>
      </c>
      <c r="C242" t="s">
        <v>1380</v>
      </c>
      <c r="D242" t="s">
        <v>1381</v>
      </c>
      <c r="E242" s="4"/>
    </row>
    <row r="243" spans="1:5" x14ac:dyDescent="0.2">
      <c r="A243" t="s">
        <v>1366</v>
      </c>
      <c r="B243" t="s">
        <v>1382</v>
      </c>
      <c r="C243" t="s">
        <v>1383</v>
      </c>
      <c r="D243" t="s">
        <v>1384</v>
      </c>
      <c r="E243" s="4"/>
    </row>
    <row r="244" spans="1:5" x14ac:dyDescent="0.2">
      <c r="A244" t="s">
        <v>1366</v>
      </c>
      <c r="B244" t="s">
        <v>1385</v>
      </c>
      <c r="C244" t="s">
        <v>1386</v>
      </c>
      <c r="D244" t="s">
        <v>1387</v>
      </c>
      <c r="E244" s="4"/>
    </row>
    <row r="245" spans="1:5" x14ac:dyDescent="0.2">
      <c r="A245" t="s">
        <v>1366</v>
      </c>
      <c r="B245" t="s">
        <v>1388</v>
      </c>
      <c r="C245" t="s">
        <v>1389</v>
      </c>
      <c r="D245" t="s">
        <v>1390</v>
      </c>
      <c r="E245" s="4"/>
    </row>
    <row r="246" spans="1:5" x14ac:dyDescent="0.2">
      <c r="A246" t="s">
        <v>1366</v>
      </c>
      <c r="B246" t="s">
        <v>1167</v>
      </c>
      <c r="C246" t="s">
        <v>1391</v>
      </c>
      <c r="D246" t="s">
        <v>1392</v>
      </c>
      <c r="E246" s="4"/>
    </row>
    <row r="247" spans="1:5" x14ac:dyDescent="0.2">
      <c r="A247" t="s">
        <v>1366</v>
      </c>
      <c r="B247" t="s">
        <v>1170</v>
      </c>
      <c r="C247" t="s">
        <v>1393</v>
      </c>
      <c r="D247" t="s">
        <v>1394</v>
      </c>
      <c r="E247" s="4"/>
    </row>
    <row r="248" spans="1:5" x14ac:dyDescent="0.2">
      <c r="A248" t="s">
        <v>1366</v>
      </c>
      <c r="B248" t="s">
        <v>1173</v>
      </c>
      <c r="C248" t="s">
        <v>1050</v>
      </c>
      <c r="D248" t="s">
        <v>1051</v>
      </c>
      <c r="E248" s="4"/>
    </row>
    <row r="249" spans="1:5" x14ac:dyDescent="0.2">
      <c r="A249" t="s">
        <v>1366</v>
      </c>
      <c r="B249" t="s">
        <v>1174</v>
      </c>
      <c r="C249" t="s">
        <v>1052</v>
      </c>
      <c r="D249" t="s">
        <v>1053</v>
      </c>
      <c r="E249" s="4"/>
    </row>
    <row r="250" spans="1:5" x14ac:dyDescent="0.2">
      <c r="E250" s="4"/>
    </row>
    <row r="251" spans="1:5" s="13" customFormat="1" x14ac:dyDescent="0.2">
      <c r="A251" s="263" t="s">
        <v>1395</v>
      </c>
      <c r="B251" s="263">
        <v>1</v>
      </c>
      <c r="C251" s="263" t="s">
        <v>1396</v>
      </c>
      <c r="D251" s="263" t="s">
        <v>1396</v>
      </c>
      <c r="E251" s="15"/>
    </row>
    <row r="252" spans="1:5" s="13" customFormat="1" x14ac:dyDescent="0.2">
      <c r="A252" s="263" t="s">
        <v>1395</v>
      </c>
      <c r="B252" s="263">
        <v>2</v>
      </c>
      <c r="C252" s="263" t="s">
        <v>1397</v>
      </c>
      <c r="D252" s="263" t="s">
        <v>1398</v>
      </c>
      <c r="E252" s="15"/>
    </row>
    <row r="253" spans="1:5" s="13" customFormat="1" x14ac:dyDescent="0.2">
      <c r="A253" s="263" t="s">
        <v>1395</v>
      </c>
      <c r="B253" s="263">
        <v>3</v>
      </c>
      <c r="C253" s="263" t="s">
        <v>1399</v>
      </c>
      <c r="D253" s="263" t="s">
        <v>1400</v>
      </c>
      <c r="E253" s="15"/>
    </row>
    <row r="254" spans="1:5" s="13" customFormat="1" x14ac:dyDescent="0.2">
      <c r="A254" s="263" t="s">
        <v>1395</v>
      </c>
      <c r="B254" s="263">
        <v>4</v>
      </c>
      <c r="C254" s="263" t="s">
        <v>1401</v>
      </c>
      <c r="D254" s="263" t="s">
        <v>1402</v>
      </c>
      <c r="E254" s="15"/>
    </row>
    <row r="255" spans="1:5" s="13" customFormat="1" x14ac:dyDescent="0.2">
      <c r="A255" s="263" t="s">
        <v>1395</v>
      </c>
      <c r="B255" s="263">
        <v>5</v>
      </c>
      <c r="C255" s="266" t="s">
        <v>1403</v>
      </c>
      <c r="D255" s="266" t="s">
        <v>1404</v>
      </c>
      <c r="E255" s="15"/>
    </row>
    <row r="256" spans="1:5" s="13" customFormat="1" x14ac:dyDescent="0.2">
      <c r="D256" s="123"/>
      <c r="E256" s="15"/>
    </row>
    <row r="257" spans="1:5" s="14" customFormat="1" x14ac:dyDescent="0.2">
      <c r="A257" s="263" t="s">
        <v>1405</v>
      </c>
      <c r="B257" s="263">
        <v>1</v>
      </c>
      <c r="C257" s="263" t="s">
        <v>1406</v>
      </c>
      <c r="D257" s="263" t="s">
        <v>1407</v>
      </c>
      <c r="E257" s="5"/>
    </row>
    <row r="258" spans="1:5" s="14" customFormat="1" x14ac:dyDescent="0.2">
      <c r="A258" s="263" t="s">
        <v>1405</v>
      </c>
      <c r="B258" s="263">
        <v>2</v>
      </c>
      <c r="C258" s="263" t="s">
        <v>1408</v>
      </c>
      <c r="D258" s="263" t="s">
        <v>1409</v>
      </c>
      <c r="E258" s="5"/>
    </row>
    <row r="259" spans="1:5" s="13" customFormat="1" x14ac:dyDescent="0.2">
      <c r="D259" s="14"/>
      <c r="E259" s="15"/>
    </row>
    <row r="260" spans="1:5" s="13" customFormat="1" x14ac:dyDescent="0.2">
      <c r="A260" s="263" t="s">
        <v>1410</v>
      </c>
      <c r="B260" s="263">
        <v>1</v>
      </c>
      <c r="C260" s="263" t="s">
        <v>1411</v>
      </c>
      <c r="D260" s="263" t="s">
        <v>1412</v>
      </c>
      <c r="E260" s="15"/>
    </row>
    <row r="261" spans="1:5" s="13" customFormat="1" x14ac:dyDescent="0.2">
      <c r="A261" s="263" t="s">
        <v>1410</v>
      </c>
      <c r="B261" s="263">
        <v>2</v>
      </c>
      <c r="C261" s="263" t="s">
        <v>1413</v>
      </c>
      <c r="D261" s="263" t="s">
        <v>1414</v>
      </c>
      <c r="E261" s="15"/>
    </row>
    <row r="262" spans="1:5" s="13" customFormat="1" x14ac:dyDescent="0.2">
      <c r="A262" s="263" t="s">
        <v>1410</v>
      </c>
      <c r="B262" s="263">
        <v>3</v>
      </c>
      <c r="C262" s="263" t="s">
        <v>1415</v>
      </c>
      <c r="D262" s="263" t="s">
        <v>1416</v>
      </c>
      <c r="E262" s="15"/>
    </row>
    <row r="263" spans="1:5" s="13" customFormat="1" x14ac:dyDescent="0.2">
      <c r="A263" s="263" t="s">
        <v>1410</v>
      </c>
      <c r="B263" s="263">
        <v>4</v>
      </c>
      <c r="C263" s="263" t="s">
        <v>1417</v>
      </c>
      <c r="D263" s="263" t="s">
        <v>1418</v>
      </c>
      <c r="E263" s="15"/>
    </row>
    <row r="264" spans="1:5" s="13" customFormat="1" x14ac:dyDescent="0.2">
      <c r="A264" s="263" t="s">
        <v>1410</v>
      </c>
      <c r="B264" s="263">
        <v>5</v>
      </c>
      <c r="C264" s="263" t="s">
        <v>1419</v>
      </c>
      <c r="D264" s="263" t="s">
        <v>1420</v>
      </c>
      <c r="E264" s="15"/>
    </row>
    <row r="265" spans="1:5" s="13" customFormat="1" x14ac:dyDescent="0.2">
      <c r="A265" s="263" t="s">
        <v>1410</v>
      </c>
      <c r="B265" s="263">
        <v>6</v>
      </c>
      <c r="C265" s="263" t="s">
        <v>1391</v>
      </c>
      <c r="D265" s="263" t="s">
        <v>1392</v>
      </c>
      <c r="E265" s="15"/>
    </row>
    <row r="266" spans="1:5" s="13" customFormat="1" x14ac:dyDescent="0.2">
      <c r="A266" s="263" t="s">
        <v>1410</v>
      </c>
      <c r="B266" s="263">
        <v>7</v>
      </c>
      <c r="C266" s="263" t="s">
        <v>1050</v>
      </c>
      <c r="D266" s="263" t="s">
        <v>1051</v>
      </c>
      <c r="E266" s="15"/>
    </row>
    <row r="267" spans="1:5" s="13" customFormat="1" x14ac:dyDescent="0.2">
      <c r="A267" s="263" t="s">
        <v>1410</v>
      </c>
      <c r="B267" s="263">
        <v>8</v>
      </c>
      <c r="C267" s="263" t="s">
        <v>1052</v>
      </c>
      <c r="D267" s="263" t="s">
        <v>1053</v>
      </c>
      <c r="E267" s="15"/>
    </row>
    <row r="268" spans="1:5" x14ac:dyDescent="0.2">
      <c r="D268" s="14"/>
      <c r="E268" s="4"/>
    </row>
    <row r="269" spans="1:5" s="13" customFormat="1" x14ac:dyDescent="0.2">
      <c r="A269" s="264" t="s">
        <v>1421</v>
      </c>
      <c r="B269" s="264">
        <v>1</v>
      </c>
      <c r="C269" s="264" t="s">
        <v>1422</v>
      </c>
      <c r="D269" s="264" t="s">
        <v>1423</v>
      </c>
      <c r="E269" s="15"/>
    </row>
    <row r="270" spans="1:5" s="13" customFormat="1" x14ac:dyDescent="0.2">
      <c r="A270" s="264" t="s">
        <v>1421</v>
      </c>
      <c r="B270" s="264">
        <v>2</v>
      </c>
      <c r="C270" s="264" t="s">
        <v>1424</v>
      </c>
      <c r="D270" s="264" t="s">
        <v>1425</v>
      </c>
      <c r="E270" s="15"/>
    </row>
    <row r="271" spans="1:5" s="13" customFormat="1" x14ac:dyDescent="0.2">
      <c r="A271" s="264" t="s">
        <v>1421</v>
      </c>
      <c r="B271" s="264">
        <v>3</v>
      </c>
      <c r="C271" s="264" t="s">
        <v>1426</v>
      </c>
      <c r="D271" s="264" t="s">
        <v>1427</v>
      </c>
      <c r="E271" s="15"/>
    </row>
    <row r="272" spans="1:5" s="13" customFormat="1" x14ac:dyDescent="0.2">
      <c r="A272" s="264" t="s">
        <v>1421</v>
      </c>
      <c r="B272" s="264">
        <v>4</v>
      </c>
      <c r="C272" s="264" t="s">
        <v>1428</v>
      </c>
      <c r="D272" s="264" t="s">
        <v>1429</v>
      </c>
      <c r="E272" s="15"/>
    </row>
    <row r="273" spans="1:6" s="13" customFormat="1" x14ac:dyDescent="0.2">
      <c r="A273" s="264" t="s">
        <v>1421</v>
      </c>
      <c r="B273" s="264">
        <v>5</v>
      </c>
      <c r="C273" s="264" t="s">
        <v>1430</v>
      </c>
      <c r="D273" s="264" t="s">
        <v>1431</v>
      </c>
      <c r="E273" s="15"/>
    </row>
    <row r="274" spans="1:6" s="13" customFormat="1" x14ac:dyDescent="0.2">
      <c r="A274" s="264" t="s">
        <v>1421</v>
      </c>
      <c r="B274" s="264">
        <v>6</v>
      </c>
      <c r="C274" s="264" t="s">
        <v>1050</v>
      </c>
      <c r="D274" s="264" t="s">
        <v>1051</v>
      </c>
      <c r="E274" s="15"/>
    </row>
    <row r="275" spans="1:6" s="13" customFormat="1" x14ac:dyDescent="0.2">
      <c r="A275" s="264" t="s">
        <v>1421</v>
      </c>
      <c r="B275" s="264">
        <v>7</v>
      </c>
      <c r="C275" s="264" t="s">
        <v>1052</v>
      </c>
      <c r="D275" s="264" t="s">
        <v>1432</v>
      </c>
      <c r="E275" s="15"/>
    </row>
    <row r="276" spans="1:6" x14ac:dyDescent="0.2">
      <c r="E276" s="4"/>
      <c r="F276" s="13"/>
    </row>
    <row r="277" spans="1:6" s="13" customFormat="1" x14ac:dyDescent="0.2">
      <c r="A277" s="264" t="s">
        <v>1433</v>
      </c>
      <c r="B277" s="264" t="s">
        <v>1434</v>
      </c>
      <c r="C277" s="264" t="s">
        <v>1435</v>
      </c>
      <c r="D277" s="264" t="s">
        <v>1436</v>
      </c>
      <c r="E277" s="15"/>
    </row>
    <row r="278" spans="1:6" s="13" customFormat="1" x14ac:dyDescent="0.2">
      <c r="A278" s="264" t="s">
        <v>1433</v>
      </c>
      <c r="B278" s="264" t="s">
        <v>1437</v>
      </c>
      <c r="C278" s="264" t="s">
        <v>1438</v>
      </c>
      <c r="D278" s="264" t="s">
        <v>1439</v>
      </c>
      <c r="E278" s="15"/>
    </row>
    <row r="279" spans="1:6" s="13" customFormat="1" x14ac:dyDescent="0.2">
      <c r="A279" s="264" t="s">
        <v>1433</v>
      </c>
      <c r="B279" s="264" t="s">
        <v>1440</v>
      </c>
      <c r="C279" s="264" t="s">
        <v>1441</v>
      </c>
      <c r="D279" s="264" t="s">
        <v>1442</v>
      </c>
      <c r="E279" s="15"/>
    </row>
    <row r="280" spans="1:6" s="13" customFormat="1" x14ac:dyDescent="0.2">
      <c r="A280" s="264" t="s">
        <v>1433</v>
      </c>
      <c r="B280" s="264" t="s">
        <v>1443</v>
      </c>
      <c r="C280" s="264" t="s">
        <v>1444</v>
      </c>
      <c r="D280" s="264" t="s">
        <v>1445</v>
      </c>
      <c r="E280" s="15"/>
    </row>
    <row r="281" spans="1:6" s="13" customFormat="1" x14ac:dyDescent="0.2">
      <c r="A281" s="264" t="s">
        <v>1433</v>
      </c>
      <c r="B281" s="264" t="s">
        <v>1446</v>
      </c>
      <c r="C281" s="264" t="s">
        <v>1447</v>
      </c>
      <c r="D281" s="264" t="s">
        <v>1448</v>
      </c>
      <c r="E281" s="15"/>
    </row>
    <row r="282" spans="1:6" s="13" customFormat="1" x14ac:dyDescent="0.2">
      <c r="A282" s="264" t="s">
        <v>1433</v>
      </c>
      <c r="B282" s="264" t="s">
        <v>1449</v>
      </c>
      <c r="C282" s="264" t="s">
        <v>1450</v>
      </c>
      <c r="D282" s="264" t="s">
        <v>1451</v>
      </c>
      <c r="E282" s="15"/>
    </row>
    <row r="283" spans="1:6" s="13" customFormat="1" x14ac:dyDescent="0.2">
      <c r="A283" s="264" t="s">
        <v>1433</v>
      </c>
      <c r="B283" s="264" t="s">
        <v>1452</v>
      </c>
      <c r="C283" s="264" t="s">
        <v>1453</v>
      </c>
      <c r="D283" s="264" t="s">
        <v>1454</v>
      </c>
      <c r="E283" s="15"/>
    </row>
    <row r="284" spans="1:6" s="13" customFormat="1" x14ac:dyDescent="0.2">
      <c r="A284" s="264" t="s">
        <v>1433</v>
      </c>
      <c r="B284" s="264" t="s">
        <v>1167</v>
      </c>
      <c r="C284" s="264" t="s">
        <v>1455</v>
      </c>
      <c r="D284" s="264" t="s">
        <v>1456</v>
      </c>
      <c r="E284" s="15"/>
    </row>
    <row r="285" spans="1:6" s="13" customFormat="1" x14ac:dyDescent="0.2">
      <c r="A285" s="264" t="s">
        <v>1433</v>
      </c>
      <c r="B285" s="264" t="s">
        <v>1173</v>
      </c>
      <c r="C285" s="264" t="s">
        <v>1050</v>
      </c>
      <c r="D285" s="264" t="s">
        <v>1051</v>
      </c>
      <c r="E285" s="15"/>
    </row>
    <row r="286" spans="1:6" s="13" customFormat="1" x14ac:dyDescent="0.2">
      <c r="A286" s="264" t="s">
        <v>1433</v>
      </c>
      <c r="B286" s="264" t="s">
        <v>1174</v>
      </c>
      <c r="C286" s="264" t="s">
        <v>1052</v>
      </c>
      <c r="D286" s="264" t="s">
        <v>1053</v>
      </c>
      <c r="E286" s="15"/>
    </row>
    <row r="287" spans="1:6" x14ac:dyDescent="0.2">
      <c r="D287" s="13"/>
      <c r="E287" s="4"/>
    </row>
    <row r="288" spans="1:6" x14ac:dyDescent="0.2">
      <c r="A288" s="264" t="s">
        <v>1457</v>
      </c>
      <c r="B288" s="264">
        <v>1</v>
      </c>
      <c r="C288" s="264" t="s">
        <v>1458</v>
      </c>
      <c r="D288" s="264" t="s">
        <v>1459</v>
      </c>
      <c r="E288" s="4"/>
    </row>
    <row r="289" spans="1:6" x14ac:dyDescent="0.2">
      <c r="A289" s="264" t="s">
        <v>1457</v>
      </c>
      <c r="B289" s="264">
        <v>2</v>
      </c>
      <c r="C289" s="264" t="s">
        <v>1460</v>
      </c>
      <c r="D289" s="264" t="s">
        <v>1461</v>
      </c>
      <c r="E289" s="4"/>
    </row>
    <row r="290" spans="1:6" x14ac:dyDescent="0.2">
      <c r="A290" s="264" t="s">
        <v>1457</v>
      </c>
      <c r="B290" s="264">
        <v>3</v>
      </c>
      <c r="C290" s="264" t="s">
        <v>1462</v>
      </c>
      <c r="D290" s="264" t="s">
        <v>1463</v>
      </c>
      <c r="E290" s="4"/>
    </row>
    <row r="291" spans="1:6" x14ac:dyDescent="0.2">
      <c r="A291" s="264" t="s">
        <v>1457</v>
      </c>
      <c r="B291" s="264">
        <v>4</v>
      </c>
      <c r="C291" s="264" t="s">
        <v>1464</v>
      </c>
      <c r="D291" s="264" t="s">
        <v>1465</v>
      </c>
      <c r="E291" s="4"/>
    </row>
    <row r="292" spans="1:6" x14ac:dyDescent="0.2">
      <c r="A292" s="264" t="s">
        <v>1457</v>
      </c>
      <c r="B292" s="264">
        <v>5</v>
      </c>
      <c r="C292" s="264" t="s">
        <v>1466</v>
      </c>
      <c r="D292" s="264" t="s">
        <v>1467</v>
      </c>
      <c r="E292" s="4"/>
    </row>
    <row r="293" spans="1:6" x14ac:dyDescent="0.2">
      <c r="A293" s="264" t="s">
        <v>1457</v>
      </c>
      <c r="B293" s="264">
        <v>6</v>
      </c>
      <c r="C293" s="264" t="s">
        <v>1468</v>
      </c>
      <c r="D293" s="264" t="s">
        <v>1469</v>
      </c>
      <c r="E293" s="4"/>
    </row>
    <row r="294" spans="1:6" x14ac:dyDescent="0.2">
      <c r="A294" s="264" t="s">
        <v>1457</v>
      </c>
      <c r="B294" s="264">
        <v>7</v>
      </c>
      <c r="C294" s="264" t="s">
        <v>1470</v>
      </c>
      <c r="D294" s="264" t="s">
        <v>1471</v>
      </c>
      <c r="E294" s="4"/>
    </row>
    <row r="295" spans="1:6" x14ac:dyDescent="0.2">
      <c r="A295" s="264" t="s">
        <v>1457</v>
      </c>
      <c r="B295" s="264">
        <v>8</v>
      </c>
      <c r="C295" s="264" t="s">
        <v>1472</v>
      </c>
      <c r="D295" s="264" t="s">
        <v>1473</v>
      </c>
      <c r="E295" s="4"/>
    </row>
    <row r="296" spans="1:6" x14ac:dyDescent="0.2">
      <c r="A296" s="264" t="s">
        <v>1457</v>
      </c>
      <c r="B296" s="264">
        <v>9</v>
      </c>
      <c r="C296" s="264" t="s">
        <v>1391</v>
      </c>
      <c r="D296" s="264" t="s">
        <v>1474</v>
      </c>
      <c r="E296" s="4"/>
    </row>
    <row r="297" spans="1:6" x14ac:dyDescent="0.2">
      <c r="A297" s="281" t="s">
        <v>1457</v>
      </c>
      <c r="B297" s="281">
        <v>10</v>
      </c>
      <c r="C297" s="281"/>
      <c r="D297" s="306" t="s">
        <v>1475</v>
      </c>
      <c r="E297" s="4"/>
    </row>
    <row r="298" spans="1:6" x14ac:dyDescent="0.2">
      <c r="D298" s="13"/>
      <c r="E298" s="4"/>
    </row>
    <row r="299" spans="1:6" x14ac:dyDescent="0.2">
      <c r="A299" s="263" t="s">
        <v>1476</v>
      </c>
      <c r="B299" s="263" t="s">
        <v>1477</v>
      </c>
      <c r="C299" s="263" t="s">
        <v>1478</v>
      </c>
      <c r="D299" t="s">
        <v>1479</v>
      </c>
      <c r="E299" s="4"/>
      <c r="F299" s="13"/>
    </row>
    <row r="300" spans="1:6" x14ac:dyDescent="0.2">
      <c r="A300" s="263" t="s">
        <v>1476</v>
      </c>
      <c r="B300" s="263" t="s">
        <v>1480</v>
      </c>
      <c r="C300" s="263" t="s">
        <v>1481</v>
      </c>
      <c r="D300" t="s">
        <v>1482</v>
      </c>
      <c r="E300" s="4"/>
      <c r="F300" s="13"/>
    </row>
    <row r="301" spans="1:6" x14ac:dyDescent="0.2">
      <c r="A301" s="263" t="s">
        <v>1476</v>
      </c>
      <c r="B301" s="263" t="s">
        <v>1483</v>
      </c>
      <c r="C301" s="263" t="s">
        <v>1484</v>
      </c>
      <c r="D301" t="s">
        <v>1485</v>
      </c>
      <c r="E301" s="4"/>
      <c r="F301" s="13"/>
    </row>
    <row r="302" spans="1:6" x14ac:dyDescent="0.2">
      <c r="A302" s="263" t="s">
        <v>1476</v>
      </c>
      <c r="B302" s="263" t="s">
        <v>1486</v>
      </c>
      <c r="C302" s="263" t="s">
        <v>1487</v>
      </c>
      <c r="D302" t="s">
        <v>1488</v>
      </c>
      <c r="E302" s="4"/>
      <c r="F302" s="13"/>
    </row>
    <row r="303" spans="1:6" x14ac:dyDescent="0.2">
      <c r="A303" s="263" t="s">
        <v>1476</v>
      </c>
      <c r="B303" s="263" t="s">
        <v>1489</v>
      </c>
      <c r="C303" s="263" t="s">
        <v>1490</v>
      </c>
      <c r="D303" t="s">
        <v>1491</v>
      </c>
      <c r="E303" s="4"/>
      <c r="F303" s="13"/>
    </row>
    <row r="304" spans="1:6" x14ac:dyDescent="0.2">
      <c r="A304" s="263" t="s">
        <v>1476</v>
      </c>
      <c r="B304" s="263" t="s">
        <v>1492</v>
      </c>
      <c r="C304" s="263" t="s">
        <v>1493</v>
      </c>
      <c r="D304" t="s">
        <v>1494</v>
      </c>
      <c r="E304" s="4"/>
      <c r="F304" s="13"/>
    </row>
    <row r="305" spans="1:6" x14ac:dyDescent="0.2">
      <c r="A305" s="263" t="s">
        <v>1476</v>
      </c>
      <c r="B305" s="263" t="s">
        <v>1495</v>
      </c>
      <c r="C305" s="263" t="s">
        <v>1496</v>
      </c>
      <c r="D305" t="s">
        <v>1497</v>
      </c>
      <c r="E305" s="4"/>
      <c r="F305" s="13"/>
    </row>
    <row r="306" spans="1:6" x14ac:dyDescent="0.2">
      <c r="A306" s="263" t="s">
        <v>1476</v>
      </c>
      <c r="B306" s="263" t="s">
        <v>1498</v>
      </c>
      <c r="C306" s="263" t="s">
        <v>1499</v>
      </c>
      <c r="D306" t="s">
        <v>1500</v>
      </c>
      <c r="E306" s="4"/>
      <c r="F306" s="13"/>
    </row>
    <row r="307" spans="1:6" x14ac:dyDescent="0.2">
      <c r="A307" s="263" t="s">
        <v>1476</v>
      </c>
      <c r="B307" s="263" t="s">
        <v>1501</v>
      </c>
      <c r="C307" s="263" t="s">
        <v>1502</v>
      </c>
      <c r="D307" t="s">
        <v>1503</v>
      </c>
      <c r="E307" s="4"/>
      <c r="F307" s="13"/>
    </row>
    <row r="308" spans="1:6" x14ac:dyDescent="0.2">
      <c r="A308" s="263" t="s">
        <v>1476</v>
      </c>
      <c r="B308" s="263" t="s">
        <v>1504</v>
      </c>
      <c r="C308" s="263" t="s">
        <v>1505</v>
      </c>
      <c r="D308" t="s">
        <v>1506</v>
      </c>
      <c r="E308" s="4"/>
      <c r="F308" s="13"/>
    </row>
    <row r="309" spans="1:6" x14ac:dyDescent="0.2">
      <c r="A309" s="263" t="s">
        <v>1476</v>
      </c>
      <c r="B309" s="263" t="s">
        <v>1507</v>
      </c>
      <c r="C309" s="263" t="s">
        <v>1508</v>
      </c>
      <c r="D309" t="s">
        <v>1509</v>
      </c>
      <c r="E309" s="4"/>
      <c r="F309" s="13"/>
    </row>
    <row r="310" spans="1:6" x14ac:dyDescent="0.2">
      <c r="A310" s="263" t="s">
        <v>1476</v>
      </c>
      <c r="B310" s="263" t="s">
        <v>1510</v>
      </c>
      <c r="C310" s="263" t="s">
        <v>1511</v>
      </c>
      <c r="D310" t="s">
        <v>1512</v>
      </c>
      <c r="E310" s="4"/>
      <c r="F310" s="13"/>
    </row>
    <row r="311" spans="1:6" x14ac:dyDescent="0.2">
      <c r="A311" s="263" t="s">
        <v>1476</v>
      </c>
      <c r="B311" s="263" t="s">
        <v>1513</v>
      </c>
      <c r="C311" s="263" t="s">
        <v>1514</v>
      </c>
      <c r="D311" t="s">
        <v>1515</v>
      </c>
      <c r="E311" s="4"/>
      <c r="F311" s="13"/>
    </row>
    <row r="312" spans="1:6" x14ac:dyDescent="0.2">
      <c r="A312" s="263" t="s">
        <v>1476</v>
      </c>
      <c r="B312" s="263" t="s">
        <v>1516</v>
      </c>
      <c r="C312" s="263" t="s">
        <v>1517</v>
      </c>
      <c r="D312" t="s">
        <v>1518</v>
      </c>
      <c r="E312" s="4"/>
      <c r="F312" s="13"/>
    </row>
    <row r="313" spans="1:6" x14ac:dyDescent="0.2">
      <c r="A313" s="263" t="s">
        <v>1476</v>
      </c>
      <c r="B313" s="263" t="s">
        <v>1519</v>
      </c>
      <c r="C313" s="263" t="s">
        <v>1520</v>
      </c>
      <c r="D313" t="s">
        <v>1521</v>
      </c>
      <c r="E313" s="4"/>
    </row>
    <row r="314" spans="1:6" x14ac:dyDescent="0.2">
      <c r="A314" s="263" t="s">
        <v>1476</v>
      </c>
      <c r="B314" s="263" t="s">
        <v>1167</v>
      </c>
      <c r="C314" s="263" t="s">
        <v>1455</v>
      </c>
      <c r="D314" t="s">
        <v>1456</v>
      </c>
      <c r="E314" s="4"/>
      <c r="F314" s="13"/>
    </row>
    <row r="315" spans="1:6" x14ac:dyDescent="0.2">
      <c r="A315" s="263" t="s">
        <v>1476</v>
      </c>
      <c r="B315" s="263" t="s">
        <v>1173</v>
      </c>
      <c r="C315" s="263" t="s">
        <v>1050</v>
      </c>
      <c r="D315" t="s">
        <v>1051</v>
      </c>
      <c r="E315" s="4"/>
    </row>
    <row r="316" spans="1:6" x14ac:dyDescent="0.2">
      <c r="A316" s="263" t="s">
        <v>1476</v>
      </c>
      <c r="B316" s="263" t="s">
        <v>1174</v>
      </c>
      <c r="C316" s="263" t="s">
        <v>1052</v>
      </c>
      <c r="D316" t="s">
        <v>1053</v>
      </c>
      <c r="E316" s="4"/>
    </row>
    <row r="317" spans="1:6" x14ac:dyDescent="0.2">
      <c r="E317" s="4"/>
    </row>
    <row r="318" spans="1:6" s="13" customFormat="1" x14ac:dyDescent="0.2">
      <c r="A318" s="264" t="s">
        <v>1522</v>
      </c>
      <c r="B318" s="264">
        <v>1</v>
      </c>
      <c r="C318" s="264" t="s">
        <v>1523</v>
      </c>
      <c r="D318" s="264" t="s">
        <v>1524</v>
      </c>
      <c r="E318" s="15"/>
    </row>
    <row r="319" spans="1:6" s="13" customFormat="1" x14ac:dyDescent="0.2">
      <c r="A319" s="264" t="s">
        <v>1522</v>
      </c>
      <c r="B319" s="264">
        <v>2</v>
      </c>
      <c r="C319" s="264" t="s">
        <v>1525</v>
      </c>
      <c r="D319" s="264" t="s">
        <v>1526</v>
      </c>
      <c r="E319" s="15"/>
    </row>
    <row r="320" spans="1:6" s="13" customFormat="1" x14ac:dyDescent="0.2">
      <c r="A320" s="264" t="s">
        <v>1522</v>
      </c>
      <c r="B320" s="264">
        <v>3</v>
      </c>
      <c r="C320" s="264" t="s">
        <v>1527</v>
      </c>
      <c r="D320" s="264" t="s">
        <v>1528</v>
      </c>
      <c r="E320" s="15"/>
    </row>
    <row r="321" spans="1:6" s="13" customFormat="1" x14ac:dyDescent="0.2">
      <c r="A321" s="264" t="s">
        <v>1522</v>
      </c>
      <c r="B321" s="264">
        <v>4</v>
      </c>
      <c r="C321" s="264" t="s">
        <v>1529</v>
      </c>
      <c r="D321" s="264" t="s">
        <v>1530</v>
      </c>
      <c r="E321" s="15"/>
    </row>
    <row r="322" spans="1:6" s="13" customFormat="1" x14ac:dyDescent="0.2">
      <c r="A322" s="264" t="s">
        <v>1522</v>
      </c>
      <c r="B322" s="264">
        <v>5</v>
      </c>
      <c r="C322" s="264" t="s">
        <v>1531</v>
      </c>
      <c r="D322" s="264" t="s">
        <v>1532</v>
      </c>
      <c r="E322" s="15"/>
    </row>
    <row r="323" spans="1:6" s="13" customFormat="1" x14ac:dyDescent="0.2">
      <c r="A323" s="264" t="s">
        <v>1522</v>
      </c>
      <c r="B323" s="264">
        <v>6</v>
      </c>
      <c r="C323" s="264" t="s">
        <v>1533</v>
      </c>
      <c r="D323" s="264" t="s">
        <v>1534</v>
      </c>
      <c r="E323" s="15"/>
    </row>
    <row r="324" spans="1:6" s="13" customFormat="1" x14ac:dyDescent="0.2">
      <c r="A324" s="264" t="s">
        <v>1522</v>
      </c>
      <c r="B324" s="264">
        <v>7</v>
      </c>
      <c r="C324" s="264" t="s">
        <v>1050</v>
      </c>
      <c r="D324" s="264" t="s">
        <v>1535</v>
      </c>
      <c r="E324" s="15"/>
    </row>
    <row r="325" spans="1:6" x14ac:dyDescent="0.2">
      <c r="A325" s="264" t="s">
        <v>1522</v>
      </c>
      <c r="B325" s="264">
        <v>8</v>
      </c>
      <c r="C325" s="264" t="s">
        <v>1052</v>
      </c>
      <c r="D325" s="264" t="s">
        <v>1536</v>
      </c>
      <c r="E325" s="15"/>
      <c r="F325" s="13"/>
    </row>
    <row r="326" spans="1:6" x14ac:dyDescent="0.2">
      <c r="D326" s="13"/>
      <c r="E326" s="4"/>
    </row>
    <row r="327" spans="1:6" x14ac:dyDescent="0.2">
      <c r="A327" t="s">
        <v>1537</v>
      </c>
      <c r="B327" t="s">
        <v>1538</v>
      </c>
      <c r="C327" t="s">
        <v>1539</v>
      </c>
      <c r="D327" t="s">
        <v>1540</v>
      </c>
      <c r="E327" s="4"/>
      <c r="F327" s="13"/>
    </row>
    <row r="328" spans="1:6" x14ac:dyDescent="0.2">
      <c r="A328" t="s">
        <v>1537</v>
      </c>
      <c r="B328" t="s">
        <v>1541</v>
      </c>
      <c r="C328" t="s">
        <v>1542</v>
      </c>
      <c r="D328" t="s">
        <v>1543</v>
      </c>
      <c r="E328" s="4"/>
      <c r="F328" s="13"/>
    </row>
    <row r="329" spans="1:6" x14ac:dyDescent="0.2">
      <c r="A329" t="s">
        <v>1537</v>
      </c>
      <c r="B329" t="s">
        <v>1544</v>
      </c>
      <c r="C329" t="s">
        <v>1545</v>
      </c>
      <c r="D329" t="s">
        <v>1546</v>
      </c>
      <c r="E329" s="4"/>
      <c r="F329" s="13"/>
    </row>
    <row r="330" spans="1:6" x14ac:dyDescent="0.2">
      <c r="A330" t="s">
        <v>1537</v>
      </c>
      <c r="B330" t="s">
        <v>1547</v>
      </c>
      <c r="C330" t="s">
        <v>1548</v>
      </c>
      <c r="D330" t="s">
        <v>1549</v>
      </c>
      <c r="E330" s="4"/>
      <c r="F330" s="13"/>
    </row>
    <row r="331" spans="1:6" x14ac:dyDescent="0.2">
      <c r="A331" t="s">
        <v>1537</v>
      </c>
      <c r="B331" t="s">
        <v>1550</v>
      </c>
      <c r="C331" t="s">
        <v>1551</v>
      </c>
      <c r="D331" t="s">
        <v>1552</v>
      </c>
      <c r="E331" s="4"/>
      <c r="F331" s="13"/>
    </row>
    <row r="332" spans="1:6" x14ac:dyDescent="0.2">
      <c r="A332" t="s">
        <v>1537</v>
      </c>
      <c r="B332" t="s">
        <v>1553</v>
      </c>
      <c r="C332" t="s">
        <v>1554</v>
      </c>
      <c r="D332" t="s">
        <v>1555</v>
      </c>
      <c r="E332" s="4"/>
      <c r="F332" s="13"/>
    </row>
    <row r="333" spans="1:6" x14ac:dyDescent="0.2">
      <c r="A333" t="s">
        <v>1537</v>
      </c>
      <c r="B333" t="s">
        <v>1556</v>
      </c>
      <c r="C333" t="s">
        <v>1557</v>
      </c>
      <c r="D333" t="s">
        <v>1558</v>
      </c>
      <c r="E333" s="4"/>
      <c r="F333" s="13"/>
    </row>
    <row r="334" spans="1:6" x14ac:dyDescent="0.2">
      <c r="A334" t="s">
        <v>1537</v>
      </c>
      <c r="B334" t="s">
        <v>1167</v>
      </c>
      <c r="C334" t="s">
        <v>1455</v>
      </c>
      <c r="D334" t="s">
        <v>1456</v>
      </c>
      <c r="E334" s="4"/>
      <c r="F334" s="13"/>
    </row>
    <row r="335" spans="1:6" x14ac:dyDescent="0.2">
      <c r="A335" t="s">
        <v>1537</v>
      </c>
      <c r="B335" t="s">
        <v>1173</v>
      </c>
      <c r="C335" t="s">
        <v>1050</v>
      </c>
      <c r="D335" t="s">
        <v>1051</v>
      </c>
      <c r="E335" s="4"/>
      <c r="F335" s="13"/>
    </row>
    <row r="336" spans="1:6" x14ac:dyDescent="0.2">
      <c r="A336" t="s">
        <v>1537</v>
      </c>
      <c r="B336" t="s">
        <v>1174</v>
      </c>
      <c r="C336" t="s">
        <v>1052</v>
      </c>
      <c r="D336" t="s">
        <v>1053</v>
      </c>
      <c r="E336" s="4"/>
      <c r="F336" s="13"/>
    </row>
    <row r="337" spans="1:6" x14ac:dyDescent="0.2">
      <c r="E337" s="4"/>
    </row>
    <row r="338" spans="1:6" x14ac:dyDescent="0.2">
      <c r="A338" t="s">
        <v>611</v>
      </c>
      <c r="B338">
        <v>1</v>
      </c>
      <c r="C338" t="s">
        <v>1559</v>
      </c>
      <c r="D338" t="s">
        <v>1560</v>
      </c>
      <c r="E338" s="4"/>
    </row>
    <row r="339" spans="1:6" x14ac:dyDescent="0.2">
      <c r="A339" t="s">
        <v>611</v>
      </c>
      <c r="B339">
        <v>2</v>
      </c>
      <c r="C339" t="s">
        <v>1561</v>
      </c>
      <c r="D339" t="s">
        <v>1562</v>
      </c>
      <c r="E339" s="4"/>
    </row>
    <row r="340" spans="1:6" x14ac:dyDescent="0.2">
      <c r="A340" t="s">
        <v>611</v>
      </c>
      <c r="B340">
        <v>3</v>
      </c>
      <c r="C340" t="s">
        <v>1563</v>
      </c>
      <c r="D340" t="s">
        <v>1564</v>
      </c>
      <c r="E340" s="4"/>
    </row>
    <row r="341" spans="1:6" x14ac:dyDescent="0.2">
      <c r="A341" t="s">
        <v>611</v>
      </c>
      <c r="B341">
        <v>4</v>
      </c>
      <c r="C341" t="s">
        <v>1565</v>
      </c>
      <c r="D341" t="s">
        <v>1566</v>
      </c>
      <c r="E341" s="4"/>
    </row>
    <row r="342" spans="1:6" x14ac:dyDescent="0.2">
      <c r="A342" t="s">
        <v>611</v>
      </c>
      <c r="B342">
        <v>5</v>
      </c>
      <c r="C342" t="s">
        <v>1567</v>
      </c>
      <c r="D342" t="s">
        <v>1568</v>
      </c>
      <c r="E342" s="4"/>
    </row>
    <row r="343" spans="1:6" x14ac:dyDescent="0.2">
      <c r="A343" t="s">
        <v>611</v>
      </c>
      <c r="B343">
        <v>6</v>
      </c>
      <c r="C343" t="s">
        <v>1569</v>
      </c>
      <c r="D343" t="s">
        <v>1570</v>
      </c>
      <c r="E343" s="4"/>
    </row>
    <row r="344" spans="1:6" x14ac:dyDescent="0.2">
      <c r="A344" t="s">
        <v>611</v>
      </c>
      <c r="B344">
        <v>7</v>
      </c>
      <c r="C344" t="s">
        <v>1571</v>
      </c>
      <c r="D344" t="s">
        <v>1572</v>
      </c>
      <c r="E344" s="4"/>
    </row>
    <row r="345" spans="1:6" x14ac:dyDescent="0.2">
      <c r="A345" t="s">
        <v>611</v>
      </c>
      <c r="B345">
        <v>8</v>
      </c>
      <c r="C345" t="s">
        <v>1573</v>
      </c>
      <c r="D345" t="s">
        <v>1574</v>
      </c>
      <c r="E345" s="4"/>
    </row>
    <row r="346" spans="1:6" x14ac:dyDescent="0.2">
      <c r="A346" t="s">
        <v>611</v>
      </c>
      <c r="B346">
        <v>9</v>
      </c>
      <c r="C346" t="s">
        <v>1455</v>
      </c>
      <c r="D346" t="s">
        <v>1456</v>
      </c>
      <c r="E346" s="4"/>
    </row>
    <row r="347" spans="1:6" x14ac:dyDescent="0.2">
      <c r="A347" t="s">
        <v>611</v>
      </c>
      <c r="B347" s="262">
        <v>10</v>
      </c>
      <c r="C347" t="s">
        <v>1050</v>
      </c>
      <c r="D347" t="s">
        <v>1051</v>
      </c>
      <c r="E347" s="4"/>
    </row>
    <row r="348" spans="1:6" x14ac:dyDescent="0.2">
      <c r="A348" t="s">
        <v>611</v>
      </c>
      <c r="B348" s="262">
        <v>11</v>
      </c>
      <c r="C348" t="s">
        <v>1052</v>
      </c>
      <c r="D348" t="s">
        <v>1053</v>
      </c>
      <c r="E348" s="4"/>
    </row>
    <row r="349" spans="1:6" x14ac:dyDescent="0.2">
      <c r="E349" s="4"/>
    </row>
    <row r="350" spans="1:6" x14ac:dyDescent="0.2">
      <c r="A350" t="s">
        <v>1575</v>
      </c>
      <c r="B350" t="s">
        <v>1576</v>
      </c>
      <c r="C350" t="s">
        <v>1577</v>
      </c>
      <c r="D350" t="s">
        <v>1578</v>
      </c>
      <c r="E350" s="4"/>
      <c r="F350" s="13"/>
    </row>
    <row r="351" spans="1:6" x14ac:dyDescent="0.2">
      <c r="A351" t="s">
        <v>1575</v>
      </c>
      <c r="B351" t="s">
        <v>1579</v>
      </c>
      <c r="C351" t="s">
        <v>1580</v>
      </c>
      <c r="D351" t="s">
        <v>1581</v>
      </c>
      <c r="E351" s="4"/>
      <c r="F351" s="13"/>
    </row>
    <row r="352" spans="1:6" x14ac:dyDescent="0.2">
      <c r="A352" t="s">
        <v>1575</v>
      </c>
      <c r="B352" t="s">
        <v>1582</v>
      </c>
      <c r="C352" t="s">
        <v>1583</v>
      </c>
      <c r="D352" t="s">
        <v>1584</v>
      </c>
      <c r="E352" s="4"/>
      <c r="F352" s="13"/>
    </row>
    <row r="353" spans="1:6" x14ac:dyDescent="0.2">
      <c r="A353" t="s">
        <v>1575</v>
      </c>
      <c r="B353" t="s">
        <v>1585</v>
      </c>
      <c r="C353" t="s">
        <v>1586</v>
      </c>
      <c r="D353" t="s">
        <v>1587</v>
      </c>
      <c r="E353" s="4"/>
      <c r="F353" s="13"/>
    </row>
    <row r="354" spans="1:6" x14ac:dyDescent="0.2">
      <c r="A354" t="s">
        <v>1575</v>
      </c>
      <c r="B354" t="s">
        <v>1588</v>
      </c>
      <c r="C354" t="s">
        <v>1589</v>
      </c>
      <c r="D354" t="s">
        <v>1590</v>
      </c>
      <c r="E354" s="4"/>
      <c r="F354" s="13"/>
    </row>
    <row r="355" spans="1:6" x14ac:dyDescent="0.2">
      <c r="A355" t="s">
        <v>1575</v>
      </c>
      <c r="B355" t="s">
        <v>1591</v>
      </c>
      <c r="C355" t="s">
        <v>1592</v>
      </c>
      <c r="D355" t="s">
        <v>1593</v>
      </c>
      <c r="E355" s="4"/>
      <c r="F355" s="13"/>
    </row>
    <row r="356" spans="1:6" x14ac:dyDescent="0.2">
      <c r="A356" t="s">
        <v>1575</v>
      </c>
      <c r="B356" t="s">
        <v>1594</v>
      </c>
      <c r="C356" t="s">
        <v>1595</v>
      </c>
      <c r="D356" t="s">
        <v>1596</v>
      </c>
      <c r="E356" s="4"/>
      <c r="F356" s="13"/>
    </row>
    <row r="357" spans="1:6" x14ac:dyDescent="0.2">
      <c r="A357" t="s">
        <v>1575</v>
      </c>
      <c r="B357" t="s">
        <v>1597</v>
      </c>
      <c r="C357" t="s">
        <v>1598</v>
      </c>
      <c r="D357" t="s">
        <v>1599</v>
      </c>
      <c r="E357" s="4"/>
      <c r="F357" s="13"/>
    </row>
    <row r="358" spans="1:6" x14ac:dyDescent="0.2">
      <c r="A358" t="s">
        <v>1575</v>
      </c>
      <c r="B358" t="s">
        <v>1600</v>
      </c>
      <c r="C358" t="s">
        <v>1601</v>
      </c>
      <c r="D358" t="s">
        <v>1602</v>
      </c>
      <c r="E358" s="4"/>
      <c r="F358" s="13"/>
    </row>
    <row r="359" spans="1:6" x14ac:dyDescent="0.2">
      <c r="A359" t="s">
        <v>1575</v>
      </c>
      <c r="B359" t="s">
        <v>1603</v>
      </c>
      <c r="C359" t="s">
        <v>1604</v>
      </c>
      <c r="D359" t="s">
        <v>1605</v>
      </c>
      <c r="E359" s="4"/>
      <c r="F359" s="13"/>
    </row>
    <row r="360" spans="1:6" x14ac:dyDescent="0.2">
      <c r="A360" t="s">
        <v>1575</v>
      </c>
      <c r="B360" t="s">
        <v>1606</v>
      </c>
      <c r="C360" t="s">
        <v>1607</v>
      </c>
      <c r="D360" t="s">
        <v>1608</v>
      </c>
      <c r="E360" s="4"/>
      <c r="F360" s="13"/>
    </row>
    <row r="361" spans="1:6" x14ac:dyDescent="0.2">
      <c r="A361" t="s">
        <v>1575</v>
      </c>
      <c r="B361" t="s">
        <v>1609</v>
      </c>
      <c r="C361" t="s">
        <v>1455</v>
      </c>
      <c r="D361" t="s">
        <v>1456</v>
      </c>
      <c r="E361" s="4"/>
      <c r="F361" s="13"/>
    </row>
    <row r="362" spans="1:6" x14ac:dyDescent="0.2">
      <c r="A362" t="s">
        <v>1575</v>
      </c>
      <c r="B362" t="s">
        <v>1610</v>
      </c>
      <c r="C362" t="s">
        <v>1050</v>
      </c>
      <c r="D362" t="s">
        <v>1051</v>
      </c>
      <c r="E362" s="4"/>
      <c r="F362" s="13"/>
    </row>
    <row r="363" spans="1:6" ht="14.25" customHeight="1" x14ac:dyDescent="0.2">
      <c r="A363" t="s">
        <v>1575</v>
      </c>
      <c r="B363" t="s">
        <v>1611</v>
      </c>
      <c r="C363" t="s">
        <v>1052</v>
      </c>
      <c r="D363" t="s">
        <v>1053</v>
      </c>
      <c r="E363" s="4"/>
      <c r="F363" s="13"/>
    </row>
    <row r="364" spans="1:6" ht="14.25" customHeight="1" x14ac:dyDescent="0.2">
      <c r="E364" s="4"/>
      <c r="F364" s="13"/>
    </row>
    <row r="365" spans="1:6" s="13" customFormat="1" ht="14.25" customHeight="1" x14ac:dyDescent="0.2">
      <c r="A365" s="264" t="s">
        <v>1612</v>
      </c>
      <c r="B365" s="264" t="s">
        <v>1613</v>
      </c>
      <c r="C365" s="264" t="s">
        <v>1614</v>
      </c>
      <c r="D365" s="264" t="s">
        <v>1615</v>
      </c>
      <c r="E365" s="15"/>
    </row>
    <row r="366" spans="1:6" s="13" customFormat="1" ht="14.25" customHeight="1" x14ac:dyDescent="0.2">
      <c r="A366" s="264" t="s">
        <v>1612</v>
      </c>
      <c r="B366" s="264" t="s">
        <v>1616</v>
      </c>
      <c r="C366" s="264" t="s">
        <v>1617</v>
      </c>
      <c r="D366" s="264" t="s">
        <v>1618</v>
      </c>
      <c r="E366" s="15"/>
    </row>
    <row r="367" spans="1:6" s="13" customFormat="1" ht="14.25" customHeight="1" x14ac:dyDescent="0.2">
      <c r="A367" s="264" t="s">
        <v>1612</v>
      </c>
      <c r="B367" s="264" t="s">
        <v>1619</v>
      </c>
      <c r="C367" s="264" t="s">
        <v>1620</v>
      </c>
      <c r="D367" s="264" t="s">
        <v>1621</v>
      </c>
      <c r="E367" s="15"/>
    </row>
    <row r="368" spans="1:6" s="13" customFormat="1" ht="14.25" customHeight="1" x14ac:dyDescent="0.2">
      <c r="A368" s="264" t="s">
        <v>1612</v>
      </c>
      <c r="B368" s="264" t="s">
        <v>1622</v>
      </c>
      <c r="C368" s="264" t="s">
        <v>1623</v>
      </c>
      <c r="D368" s="264" t="s">
        <v>1624</v>
      </c>
      <c r="E368" s="15"/>
    </row>
    <row r="369" spans="1:6" s="13" customFormat="1" ht="14.25" customHeight="1" x14ac:dyDescent="0.2">
      <c r="A369" s="264" t="s">
        <v>1612</v>
      </c>
      <c r="B369" s="264" t="s">
        <v>1625</v>
      </c>
      <c r="C369" s="264" t="s">
        <v>1626</v>
      </c>
      <c r="D369" s="264" t="s">
        <v>1627</v>
      </c>
      <c r="E369" s="15"/>
    </row>
    <row r="370" spans="1:6" s="13" customFormat="1" ht="14.25" customHeight="1" x14ac:dyDescent="0.2">
      <c r="A370" s="264" t="s">
        <v>1612</v>
      </c>
      <c r="B370" s="264" t="s">
        <v>1167</v>
      </c>
      <c r="C370" s="264" t="s">
        <v>1628</v>
      </c>
      <c r="D370" s="264" t="s">
        <v>1456</v>
      </c>
      <c r="E370" s="15"/>
    </row>
    <row r="371" spans="1:6" s="13" customFormat="1" ht="14.25" customHeight="1" x14ac:dyDescent="0.2">
      <c r="A371" s="264" t="s">
        <v>1612</v>
      </c>
      <c r="B371" s="264" t="s">
        <v>1173</v>
      </c>
      <c r="C371" s="264" t="s">
        <v>1050</v>
      </c>
      <c r="D371" s="264" t="s">
        <v>1051</v>
      </c>
      <c r="E371" s="15"/>
    </row>
    <row r="372" spans="1:6" s="13" customFormat="1" ht="14.25" customHeight="1" x14ac:dyDescent="0.2">
      <c r="A372" s="264" t="s">
        <v>1612</v>
      </c>
      <c r="B372" s="264" t="s">
        <v>1174</v>
      </c>
      <c r="C372" s="264" t="s">
        <v>1052</v>
      </c>
      <c r="D372" s="264" t="s">
        <v>1053</v>
      </c>
      <c r="E372" s="15"/>
    </row>
    <row r="373" spans="1:6" ht="14.25" customHeight="1" x14ac:dyDescent="0.2">
      <c r="D373" s="13"/>
      <c r="E373" s="4"/>
    </row>
    <row r="374" spans="1:6" x14ac:dyDescent="0.2">
      <c r="A374" t="s">
        <v>1629</v>
      </c>
      <c r="B374" t="s">
        <v>1630</v>
      </c>
      <c r="C374" t="s">
        <v>1631</v>
      </c>
      <c r="D374" t="s">
        <v>1632</v>
      </c>
      <c r="E374" s="4"/>
      <c r="F374" s="13"/>
    </row>
    <row r="375" spans="1:6" x14ac:dyDescent="0.2">
      <c r="A375" t="s">
        <v>1629</v>
      </c>
      <c r="B375" t="s">
        <v>1633</v>
      </c>
      <c r="C375" t="s">
        <v>1634</v>
      </c>
      <c r="D375" t="s">
        <v>1635</v>
      </c>
      <c r="E375" s="4"/>
      <c r="F375" s="13"/>
    </row>
    <row r="376" spans="1:6" x14ac:dyDescent="0.2">
      <c r="A376" t="s">
        <v>1629</v>
      </c>
      <c r="B376" t="s">
        <v>1636</v>
      </c>
      <c r="C376" t="s">
        <v>1637</v>
      </c>
      <c r="D376" t="s">
        <v>1638</v>
      </c>
      <c r="E376" s="4"/>
      <c r="F376" s="13"/>
    </row>
    <row r="377" spans="1:6" x14ac:dyDescent="0.2">
      <c r="A377" t="s">
        <v>1629</v>
      </c>
      <c r="B377" t="s">
        <v>1639</v>
      </c>
      <c r="C377" t="s">
        <v>1640</v>
      </c>
      <c r="D377" t="s">
        <v>1641</v>
      </c>
      <c r="E377" s="4"/>
      <c r="F377" s="13"/>
    </row>
    <row r="378" spans="1:6" x14ac:dyDescent="0.2">
      <c r="A378" t="s">
        <v>1629</v>
      </c>
      <c r="B378" t="s">
        <v>1642</v>
      </c>
      <c r="C378" t="s">
        <v>1643</v>
      </c>
      <c r="D378" t="s">
        <v>1644</v>
      </c>
      <c r="E378" s="4"/>
      <c r="F378" s="13"/>
    </row>
    <row r="379" spans="1:6" x14ac:dyDescent="0.2">
      <c r="A379" t="s">
        <v>1629</v>
      </c>
      <c r="B379" t="s">
        <v>1645</v>
      </c>
      <c r="C379" t="s">
        <v>1646</v>
      </c>
      <c r="D379" t="s">
        <v>1647</v>
      </c>
      <c r="E379" s="4"/>
      <c r="F379" s="13"/>
    </row>
    <row r="380" spans="1:6" x14ac:dyDescent="0.2">
      <c r="A380" t="s">
        <v>1629</v>
      </c>
      <c r="B380" t="s">
        <v>1648</v>
      </c>
      <c r="C380" t="s">
        <v>1649</v>
      </c>
      <c r="D380" t="s">
        <v>1650</v>
      </c>
      <c r="E380" s="4"/>
      <c r="F380" s="13"/>
    </row>
    <row r="381" spans="1:6" x14ac:dyDescent="0.2">
      <c r="A381" t="s">
        <v>1629</v>
      </c>
      <c r="B381" t="s">
        <v>1651</v>
      </c>
      <c r="C381" t="s">
        <v>1652</v>
      </c>
      <c r="D381" t="s">
        <v>1653</v>
      </c>
      <c r="E381" s="4"/>
      <c r="F381" s="13"/>
    </row>
    <row r="382" spans="1:6" x14ac:dyDescent="0.2">
      <c r="A382" t="s">
        <v>1629</v>
      </c>
      <c r="B382" t="s">
        <v>1519</v>
      </c>
      <c r="C382" t="s">
        <v>1520</v>
      </c>
      <c r="D382" t="s">
        <v>1654</v>
      </c>
      <c r="E382" s="4"/>
      <c r="F382" s="13"/>
    </row>
    <row r="383" spans="1:6" x14ac:dyDescent="0.2">
      <c r="A383" t="s">
        <v>1629</v>
      </c>
      <c r="B383" t="s">
        <v>1501</v>
      </c>
      <c r="C383" t="s">
        <v>1502</v>
      </c>
      <c r="D383" t="s">
        <v>1655</v>
      </c>
      <c r="E383" s="4"/>
      <c r="F383" s="13"/>
    </row>
    <row r="384" spans="1:6" x14ac:dyDescent="0.2">
      <c r="A384" t="s">
        <v>1629</v>
      </c>
      <c r="B384" t="s">
        <v>1167</v>
      </c>
      <c r="C384" t="s">
        <v>1455</v>
      </c>
      <c r="D384" t="s">
        <v>1456</v>
      </c>
      <c r="E384" s="4"/>
    </row>
    <row r="385" spans="1:5" x14ac:dyDescent="0.2">
      <c r="A385" t="s">
        <v>1629</v>
      </c>
      <c r="B385" t="s">
        <v>1173</v>
      </c>
      <c r="C385" t="s">
        <v>1050</v>
      </c>
      <c r="D385" t="s">
        <v>1656</v>
      </c>
      <c r="E385" s="4"/>
    </row>
    <row r="386" spans="1:5" x14ac:dyDescent="0.2">
      <c r="A386" t="s">
        <v>1629</v>
      </c>
      <c r="B386" t="s">
        <v>1174</v>
      </c>
      <c r="C386" t="s">
        <v>1052</v>
      </c>
      <c r="D386" t="s">
        <v>1053</v>
      </c>
      <c r="E386" s="4"/>
    </row>
    <row r="387" spans="1:5" x14ac:dyDescent="0.2">
      <c r="E387" s="4"/>
    </row>
    <row r="388" spans="1:5" x14ac:dyDescent="0.2">
      <c r="A388" s="264" t="s">
        <v>1657</v>
      </c>
      <c r="B388" s="264">
        <v>1</v>
      </c>
      <c r="C388" s="264" t="s">
        <v>1559</v>
      </c>
      <c r="D388" t="s">
        <v>1560</v>
      </c>
      <c r="E388" s="4"/>
    </row>
    <row r="389" spans="1:5" x14ac:dyDescent="0.2">
      <c r="A389" s="264" t="s">
        <v>1657</v>
      </c>
      <c r="B389" s="264">
        <v>2</v>
      </c>
      <c r="C389" s="264" t="s">
        <v>1561</v>
      </c>
      <c r="D389" t="s">
        <v>1562</v>
      </c>
      <c r="E389" s="4"/>
    </row>
    <row r="390" spans="1:5" x14ac:dyDescent="0.2">
      <c r="A390" s="264" t="s">
        <v>1657</v>
      </c>
      <c r="B390" s="264">
        <v>3</v>
      </c>
      <c r="C390" s="264" t="s">
        <v>1563</v>
      </c>
      <c r="D390" t="s">
        <v>1564</v>
      </c>
      <c r="E390" s="4"/>
    </row>
    <row r="391" spans="1:5" x14ac:dyDescent="0.2">
      <c r="A391" s="264" t="s">
        <v>1657</v>
      </c>
      <c r="B391" s="264">
        <v>4</v>
      </c>
      <c r="C391" s="264" t="s">
        <v>1565</v>
      </c>
      <c r="D391" t="s">
        <v>1566</v>
      </c>
      <c r="E391" s="4"/>
    </row>
    <row r="392" spans="1:5" x14ac:dyDescent="0.2">
      <c r="A392" s="264" t="s">
        <v>1657</v>
      </c>
      <c r="B392" s="264">
        <v>5</v>
      </c>
      <c r="C392" s="264" t="s">
        <v>1567</v>
      </c>
      <c r="D392" t="s">
        <v>1568</v>
      </c>
      <c r="E392" s="4"/>
    </row>
    <row r="393" spans="1:5" x14ac:dyDescent="0.2">
      <c r="A393" s="264" t="s">
        <v>1657</v>
      </c>
      <c r="B393" s="264">
        <v>6</v>
      </c>
      <c r="C393" s="264" t="s">
        <v>1569</v>
      </c>
      <c r="D393" t="s">
        <v>1570</v>
      </c>
      <c r="E393" s="4"/>
    </row>
    <row r="394" spans="1:5" x14ac:dyDescent="0.2">
      <c r="A394" s="264" t="s">
        <v>1657</v>
      </c>
      <c r="B394" s="264">
        <v>7</v>
      </c>
      <c r="C394" s="264" t="s">
        <v>1571</v>
      </c>
      <c r="D394" t="s">
        <v>1572</v>
      </c>
      <c r="E394" s="4"/>
    </row>
    <row r="395" spans="1:5" x14ac:dyDescent="0.2">
      <c r="A395" s="264" t="s">
        <v>1657</v>
      </c>
      <c r="B395" s="264">
        <v>8</v>
      </c>
      <c r="C395" s="264" t="s">
        <v>1573</v>
      </c>
      <c r="D395" t="s">
        <v>1574</v>
      </c>
      <c r="E395" s="4"/>
    </row>
    <row r="396" spans="1:5" x14ac:dyDescent="0.2">
      <c r="A396" s="264" t="s">
        <v>1657</v>
      </c>
      <c r="B396" s="264">
        <v>9</v>
      </c>
      <c r="C396" s="264" t="s">
        <v>1455</v>
      </c>
      <c r="D396" t="s">
        <v>1456</v>
      </c>
      <c r="E396" s="4"/>
    </row>
    <row r="397" spans="1:5" x14ac:dyDescent="0.2">
      <c r="A397" s="264" t="s">
        <v>1657</v>
      </c>
      <c r="B397" s="264">
        <v>666</v>
      </c>
      <c r="C397" s="264" t="s">
        <v>1658</v>
      </c>
      <c r="D397" t="s">
        <v>1659</v>
      </c>
      <c r="E397" s="4"/>
    </row>
    <row r="398" spans="1:5" x14ac:dyDescent="0.2">
      <c r="A398" s="264" t="s">
        <v>1657</v>
      </c>
      <c r="B398" s="264">
        <v>10</v>
      </c>
      <c r="C398" s="264" t="s">
        <v>1050</v>
      </c>
      <c r="D398" t="s">
        <v>1051</v>
      </c>
      <c r="E398" s="4"/>
    </row>
    <row r="399" spans="1:5" x14ac:dyDescent="0.2">
      <c r="A399" s="264" t="s">
        <v>1657</v>
      </c>
      <c r="B399" s="264">
        <v>11</v>
      </c>
      <c r="C399" s="264" t="s">
        <v>1052</v>
      </c>
      <c r="D399" t="s">
        <v>1053</v>
      </c>
      <c r="E399" s="4"/>
    </row>
    <row r="400" spans="1:5" x14ac:dyDescent="0.2">
      <c r="B400" s="10"/>
      <c r="D400" s="13"/>
      <c r="E400" s="4"/>
    </row>
    <row r="401" spans="1:6" x14ac:dyDescent="0.2">
      <c r="A401" t="s">
        <v>1660</v>
      </c>
      <c r="B401">
        <v>1</v>
      </c>
      <c r="C401" t="s">
        <v>1559</v>
      </c>
      <c r="D401" t="s">
        <v>1560</v>
      </c>
      <c r="E401" s="4"/>
    </row>
    <row r="402" spans="1:6" x14ac:dyDescent="0.2">
      <c r="A402" t="s">
        <v>1660</v>
      </c>
      <c r="B402">
        <v>2</v>
      </c>
      <c r="C402" t="s">
        <v>1561</v>
      </c>
      <c r="D402" t="s">
        <v>1562</v>
      </c>
      <c r="E402" s="4"/>
    </row>
    <row r="403" spans="1:6" x14ac:dyDescent="0.2">
      <c r="A403" t="s">
        <v>1660</v>
      </c>
      <c r="B403">
        <v>3</v>
      </c>
      <c r="C403" t="s">
        <v>1563</v>
      </c>
      <c r="D403" t="s">
        <v>1564</v>
      </c>
      <c r="E403" s="4"/>
    </row>
    <row r="404" spans="1:6" x14ac:dyDescent="0.2">
      <c r="A404" t="s">
        <v>1660</v>
      </c>
      <c r="B404">
        <v>4</v>
      </c>
      <c r="C404" s="263" t="s">
        <v>1565</v>
      </c>
      <c r="D404" t="s">
        <v>1566</v>
      </c>
      <c r="E404" s="4"/>
    </row>
    <row r="405" spans="1:6" x14ac:dyDescent="0.2">
      <c r="A405" t="s">
        <v>1660</v>
      </c>
      <c r="B405">
        <v>5</v>
      </c>
      <c r="C405" t="s">
        <v>1661</v>
      </c>
      <c r="D405" s="263" t="s">
        <v>1568</v>
      </c>
      <c r="E405" s="4"/>
    </row>
    <row r="406" spans="1:6" x14ac:dyDescent="0.2">
      <c r="A406" t="s">
        <v>1660</v>
      </c>
      <c r="B406">
        <v>6</v>
      </c>
      <c r="C406" t="s">
        <v>1569</v>
      </c>
      <c r="D406" t="s">
        <v>1570</v>
      </c>
      <c r="E406" s="4"/>
    </row>
    <row r="407" spans="1:6" x14ac:dyDescent="0.2">
      <c r="A407" t="s">
        <v>1660</v>
      </c>
      <c r="B407">
        <v>7</v>
      </c>
      <c r="C407" t="s">
        <v>1662</v>
      </c>
      <c r="D407" t="s">
        <v>1572</v>
      </c>
      <c r="E407" s="4"/>
    </row>
    <row r="408" spans="1:6" x14ac:dyDescent="0.2">
      <c r="A408" t="s">
        <v>1660</v>
      </c>
      <c r="B408">
        <v>8</v>
      </c>
      <c r="C408" t="s">
        <v>1573</v>
      </c>
      <c r="D408" t="s">
        <v>1574</v>
      </c>
      <c r="E408" s="4"/>
    </row>
    <row r="409" spans="1:6" x14ac:dyDescent="0.2">
      <c r="A409" t="s">
        <v>1660</v>
      </c>
      <c r="B409">
        <v>9</v>
      </c>
      <c r="C409" t="s">
        <v>1663</v>
      </c>
      <c r="D409" t="s">
        <v>1664</v>
      </c>
      <c r="E409" s="4"/>
    </row>
    <row r="410" spans="1:6" x14ac:dyDescent="0.2">
      <c r="A410" t="s">
        <v>1660</v>
      </c>
      <c r="B410">
        <v>10</v>
      </c>
      <c r="C410" t="s">
        <v>1665</v>
      </c>
      <c r="D410" t="s">
        <v>1666</v>
      </c>
      <c r="E410" s="4"/>
    </row>
    <row r="411" spans="1:6" x14ac:dyDescent="0.2">
      <c r="A411" t="s">
        <v>1660</v>
      </c>
      <c r="B411">
        <v>11</v>
      </c>
      <c r="C411" t="s">
        <v>1667</v>
      </c>
      <c r="D411" t="s">
        <v>1668</v>
      </c>
      <c r="E411" s="4"/>
    </row>
    <row r="412" spans="1:6" x14ac:dyDescent="0.2">
      <c r="A412" t="s">
        <v>1660</v>
      </c>
      <c r="B412" s="262">
        <v>12</v>
      </c>
      <c r="C412" t="s">
        <v>1050</v>
      </c>
      <c r="D412" t="s">
        <v>1051</v>
      </c>
      <c r="E412" s="4"/>
    </row>
    <row r="413" spans="1:6" x14ac:dyDescent="0.2">
      <c r="A413" t="s">
        <v>1660</v>
      </c>
      <c r="B413" s="262">
        <v>13</v>
      </c>
      <c r="C413" t="s">
        <v>1052</v>
      </c>
      <c r="D413" t="s">
        <v>1053</v>
      </c>
      <c r="E413" s="4"/>
    </row>
    <row r="414" spans="1:6" x14ac:dyDescent="0.2">
      <c r="E414" s="4"/>
    </row>
    <row r="415" spans="1:6" ht="16" customHeight="1" x14ac:dyDescent="0.2">
      <c r="A415" t="s">
        <v>1669</v>
      </c>
      <c r="B415" t="s">
        <v>1538</v>
      </c>
      <c r="C415" t="s">
        <v>1539</v>
      </c>
      <c r="D415" t="s">
        <v>1540</v>
      </c>
      <c r="E415" s="4"/>
      <c r="F415" s="13"/>
    </row>
    <row r="416" spans="1:6" ht="16" customHeight="1" x14ac:dyDescent="0.2">
      <c r="A416" t="s">
        <v>1669</v>
      </c>
      <c r="B416" t="s">
        <v>1541</v>
      </c>
      <c r="C416" t="s">
        <v>1670</v>
      </c>
      <c r="D416" t="s">
        <v>1671</v>
      </c>
      <c r="E416" s="4"/>
      <c r="F416" s="13"/>
    </row>
    <row r="417" spans="1:6" ht="16" customHeight="1" x14ac:dyDescent="0.2">
      <c r="A417" t="s">
        <v>1669</v>
      </c>
      <c r="B417" t="s">
        <v>1544</v>
      </c>
      <c r="C417" t="s">
        <v>1672</v>
      </c>
      <c r="D417" t="s">
        <v>1546</v>
      </c>
      <c r="E417" s="4"/>
      <c r="F417" s="13"/>
    </row>
    <row r="418" spans="1:6" ht="16" customHeight="1" x14ac:dyDescent="0.2">
      <c r="A418" t="s">
        <v>1669</v>
      </c>
      <c r="B418" t="s">
        <v>1547</v>
      </c>
      <c r="C418" t="s">
        <v>1548</v>
      </c>
      <c r="D418" t="s">
        <v>1549</v>
      </c>
      <c r="E418" s="4"/>
      <c r="F418" s="13"/>
    </row>
    <row r="419" spans="1:6" ht="16" customHeight="1" x14ac:dyDescent="0.2">
      <c r="A419" t="s">
        <v>1669</v>
      </c>
      <c r="B419" t="s">
        <v>1550</v>
      </c>
      <c r="C419" t="s">
        <v>1551</v>
      </c>
      <c r="D419" t="s">
        <v>1552</v>
      </c>
      <c r="E419" s="4"/>
      <c r="F419" s="13"/>
    </row>
    <row r="420" spans="1:6" ht="16" customHeight="1" x14ac:dyDescent="0.2">
      <c r="A420" t="s">
        <v>1669</v>
      </c>
      <c r="B420" t="s">
        <v>1673</v>
      </c>
      <c r="C420" t="s">
        <v>1674</v>
      </c>
      <c r="D420" t="s">
        <v>1675</v>
      </c>
      <c r="E420" s="4"/>
      <c r="F420" s="13"/>
    </row>
    <row r="421" spans="1:6" ht="16" customHeight="1" x14ac:dyDescent="0.2">
      <c r="A421" t="s">
        <v>1669</v>
      </c>
      <c r="B421" t="s">
        <v>1553</v>
      </c>
      <c r="C421" t="s">
        <v>1676</v>
      </c>
      <c r="D421" t="s">
        <v>1677</v>
      </c>
      <c r="E421" s="4"/>
      <c r="F421" s="13"/>
    </row>
    <row r="422" spans="1:6" ht="16" customHeight="1" x14ac:dyDescent="0.2">
      <c r="A422" t="s">
        <v>1669</v>
      </c>
      <c r="B422" t="s">
        <v>1556</v>
      </c>
      <c r="C422" t="s">
        <v>1557</v>
      </c>
      <c r="D422" t="s">
        <v>1558</v>
      </c>
      <c r="E422" s="4"/>
      <c r="F422" s="13"/>
    </row>
    <row r="423" spans="1:6" ht="16" customHeight="1" x14ac:dyDescent="0.2">
      <c r="A423" t="s">
        <v>1669</v>
      </c>
      <c r="B423" t="s">
        <v>1167</v>
      </c>
      <c r="C423" t="s">
        <v>1455</v>
      </c>
      <c r="D423" t="s">
        <v>1456</v>
      </c>
      <c r="E423" s="4"/>
    </row>
    <row r="424" spans="1:6" ht="16" customHeight="1" x14ac:dyDescent="0.2">
      <c r="A424" t="s">
        <v>1669</v>
      </c>
      <c r="B424" t="s">
        <v>1173</v>
      </c>
      <c r="C424" t="s">
        <v>1050</v>
      </c>
      <c r="D424" t="s">
        <v>1051</v>
      </c>
      <c r="E424" s="4"/>
    </row>
    <row r="425" spans="1:6" ht="16" customHeight="1" x14ac:dyDescent="0.2">
      <c r="A425" t="s">
        <v>1669</v>
      </c>
      <c r="B425" t="s">
        <v>1174</v>
      </c>
      <c r="C425" t="s">
        <v>1052</v>
      </c>
      <c r="D425" t="s">
        <v>1053</v>
      </c>
      <c r="E425" s="4"/>
    </row>
    <row r="426" spans="1:6" ht="16" customHeight="1" x14ac:dyDescent="0.2">
      <c r="E426" s="4"/>
    </row>
    <row r="427" spans="1:6" x14ac:dyDescent="0.2">
      <c r="A427" t="s">
        <v>1678</v>
      </c>
      <c r="B427" t="s">
        <v>1679</v>
      </c>
      <c r="C427" t="s">
        <v>1680</v>
      </c>
      <c r="D427" t="s">
        <v>1681</v>
      </c>
      <c r="E427" s="4"/>
      <c r="F427" s="13"/>
    </row>
    <row r="428" spans="1:6" x14ac:dyDescent="0.2">
      <c r="A428" t="s">
        <v>1678</v>
      </c>
      <c r="B428" t="s">
        <v>1682</v>
      </c>
      <c r="C428" t="s">
        <v>1683</v>
      </c>
      <c r="D428" t="s">
        <v>1684</v>
      </c>
      <c r="E428" s="4"/>
      <c r="F428" s="13"/>
    </row>
    <row r="429" spans="1:6" x14ac:dyDescent="0.2">
      <c r="A429" t="s">
        <v>1678</v>
      </c>
      <c r="B429" t="s">
        <v>1685</v>
      </c>
      <c r="C429" t="s">
        <v>1686</v>
      </c>
      <c r="D429" t="s">
        <v>1687</v>
      </c>
      <c r="E429" s="4"/>
      <c r="F429" s="13"/>
    </row>
    <row r="430" spans="1:6" x14ac:dyDescent="0.2">
      <c r="A430" t="s">
        <v>1678</v>
      </c>
      <c r="B430" t="s">
        <v>1688</v>
      </c>
      <c r="C430" t="s">
        <v>1689</v>
      </c>
      <c r="D430" t="s">
        <v>1690</v>
      </c>
      <c r="E430" s="4"/>
      <c r="F430" s="13"/>
    </row>
    <row r="431" spans="1:6" x14ac:dyDescent="0.2">
      <c r="A431" t="s">
        <v>1678</v>
      </c>
      <c r="B431" t="s">
        <v>1173</v>
      </c>
      <c r="C431" t="s">
        <v>1050</v>
      </c>
      <c r="D431" t="s">
        <v>1051</v>
      </c>
      <c r="E431" s="4"/>
      <c r="F431" s="13"/>
    </row>
    <row r="432" spans="1:6" x14ac:dyDescent="0.2">
      <c r="A432" t="s">
        <v>1678</v>
      </c>
      <c r="B432" t="s">
        <v>1174</v>
      </c>
      <c r="C432" t="s">
        <v>1052</v>
      </c>
      <c r="D432" t="s">
        <v>1053</v>
      </c>
      <c r="E432" s="4"/>
      <c r="F432" s="13"/>
    </row>
    <row r="433" spans="1:6" x14ac:dyDescent="0.2">
      <c r="E433" s="4"/>
    </row>
    <row r="434" spans="1:6" x14ac:dyDescent="0.2">
      <c r="A434" t="s">
        <v>1691</v>
      </c>
      <c r="B434" t="s">
        <v>1692</v>
      </c>
      <c r="C434" t="s">
        <v>1693</v>
      </c>
      <c r="D434" t="s">
        <v>1694</v>
      </c>
      <c r="E434" s="4"/>
      <c r="F434" s="13"/>
    </row>
    <row r="435" spans="1:6" x14ac:dyDescent="0.2">
      <c r="A435" t="s">
        <v>1691</v>
      </c>
      <c r="B435" t="s">
        <v>1695</v>
      </c>
      <c r="C435" t="s">
        <v>1696</v>
      </c>
      <c r="D435" t="s">
        <v>1697</v>
      </c>
      <c r="E435" s="4"/>
      <c r="F435" s="13"/>
    </row>
    <row r="436" spans="1:6" x14ac:dyDescent="0.2">
      <c r="A436" t="s">
        <v>1691</v>
      </c>
      <c r="B436" t="s">
        <v>1698</v>
      </c>
      <c r="C436" t="s">
        <v>1699</v>
      </c>
      <c r="D436" t="s">
        <v>1700</v>
      </c>
      <c r="E436" s="4"/>
      <c r="F436" s="13"/>
    </row>
    <row r="437" spans="1:6" x14ac:dyDescent="0.2">
      <c r="A437" t="s">
        <v>1691</v>
      </c>
      <c r="B437" t="s">
        <v>1701</v>
      </c>
      <c r="C437" t="s">
        <v>1702</v>
      </c>
      <c r="D437" t="s">
        <v>1703</v>
      </c>
      <c r="E437" s="4"/>
      <c r="F437" s="13"/>
    </row>
    <row r="438" spans="1:6" x14ac:dyDescent="0.2">
      <c r="A438" t="s">
        <v>1691</v>
      </c>
      <c r="B438" t="s">
        <v>1704</v>
      </c>
      <c r="C438" t="s">
        <v>1705</v>
      </c>
      <c r="D438" t="s">
        <v>1706</v>
      </c>
      <c r="E438" s="4"/>
      <c r="F438" s="13"/>
    </row>
    <row r="439" spans="1:6" x14ac:dyDescent="0.2">
      <c r="A439" t="s">
        <v>1691</v>
      </c>
      <c r="B439" t="s">
        <v>1707</v>
      </c>
      <c r="C439" t="s">
        <v>1708</v>
      </c>
      <c r="D439" t="s">
        <v>1709</v>
      </c>
      <c r="E439" s="4"/>
      <c r="F439" s="13"/>
    </row>
    <row r="440" spans="1:6" x14ac:dyDescent="0.2">
      <c r="A440" t="s">
        <v>1691</v>
      </c>
      <c r="B440" t="s">
        <v>1710</v>
      </c>
      <c r="C440" t="s">
        <v>1711</v>
      </c>
      <c r="D440" t="s">
        <v>1712</v>
      </c>
      <c r="E440" s="4"/>
      <c r="F440" s="13"/>
    </row>
    <row r="441" spans="1:6" x14ac:dyDescent="0.2">
      <c r="A441" t="s">
        <v>1691</v>
      </c>
      <c r="B441" t="s">
        <v>1713</v>
      </c>
      <c r="C441" t="s">
        <v>1714</v>
      </c>
      <c r="D441" t="s">
        <v>1715</v>
      </c>
      <c r="E441" s="4"/>
      <c r="F441" s="13"/>
    </row>
    <row r="442" spans="1:6" x14ac:dyDescent="0.2">
      <c r="A442" t="s">
        <v>1691</v>
      </c>
      <c r="B442" t="s">
        <v>1167</v>
      </c>
      <c r="C442" t="s">
        <v>1391</v>
      </c>
      <c r="D442" t="s">
        <v>1456</v>
      </c>
      <c r="E442" s="4"/>
    </row>
    <row r="443" spans="1:6" x14ac:dyDescent="0.2">
      <c r="A443" t="s">
        <v>1691</v>
      </c>
      <c r="B443" t="s">
        <v>1173</v>
      </c>
      <c r="C443" t="s">
        <v>1050</v>
      </c>
      <c r="D443" t="s">
        <v>1051</v>
      </c>
      <c r="E443" s="4"/>
    </row>
    <row r="444" spans="1:6" x14ac:dyDescent="0.2">
      <c r="A444" t="s">
        <v>1691</v>
      </c>
      <c r="B444" t="s">
        <v>1174</v>
      </c>
      <c r="C444" t="s">
        <v>1052</v>
      </c>
      <c r="D444" t="s">
        <v>1053</v>
      </c>
      <c r="E444" s="4"/>
    </row>
    <row r="445" spans="1:6" x14ac:dyDescent="0.2">
      <c r="E445" s="4"/>
    </row>
    <row r="446" spans="1:6" s="13" customFormat="1" x14ac:dyDescent="0.2">
      <c r="A446" s="264" t="s">
        <v>1716</v>
      </c>
      <c r="B446" s="264" t="s">
        <v>1717</v>
      </c>
      <c r="C446" s="264" t="s">
        <v>1718</v>
      </c>
      <c r="D446" s="264" t="s">
        <v>1719</v>
      </c>
      <c r="E446" s="15"/>
    </row>
    <row r="447" spans="1:6" s="13" customFormat="1" x14ac:dyDescent="0.2">
      <c r="A447" s="264" t="s">
        <v>1716</v>
      </c>
      <c r="B447" s="264" t="s">
        <v>1720</v>
      </c>
      <c r="C447" s="264" t="s">
        <v>1721</v>
      </c>
      <c r="D447" s="264" t="s">
        <v>1722</v>
      </c>
      <c r="E447" s="15"/>
    </row>
    <row r="448" spans="1:6" s="13" customFormat="1" x14ac:dyDescent="0.2">
      <c r="A448" s="264" t="s">
        <v>1716</v>
      </c>
      <c r="B448" s="264" t="s">
        <v>1723</v>
      </c>
      <c r="C448" s="264" t="s">
        <v>1724</v>
      </c>
      <c r="D448" s="264" t="s">
        <v>1725</v>
      </c>
      <c r="E448" s="15"/>
    </row>
    <row r="449" spans="1:5" s="13" customFormat="1" x14ac:dyDescent="0.2">
      <c r="A449" s="264" t="s">
        <v>1716</v>
      </c>
      <c r="B449" s="264" t="s">
        <v>1726</v>
      </c>
      <c r="C449" s="264" t="s">
        <v>1727</v>
      </c>
      <c r="D449" s="264" t="s">
        <v>1728</v>
      </c>
      <c r="E449" s="15"/>
    </row>
    <row r="450" spans="1:5" s="13" customFormat="1" x14ac:dyDescent="0.2">
      <c r="A450" s="264" t="s">
        <v>1716</v>
      </c>
      <c r="B450" s="264" t="s">
        <v>1701</v>
      </c>
      <c r="C450" s="264" t="s">
        <v>1729</v>
      </c>
      <c r="D450" s="264" t="s">
        <v>1730</v>
      </c>
      <c r="E450" s="15"/>
    </row>
    <row r="451" spans="1:5" s="13" customFormat="1" x14ac:dyDescent="0.2">
      <c r="A451" s="264" t="s">
        <v>1716</v>
      </c>
      <c r="B451" s="264" t="s">
        <v>1731</v>
      </c>
      <c r="C451" s="264" t="s">
        <v>1732</v>
      </c>
      <c r="D451" s="264" t="s">
        <v>1733</v>
      </c>
      <c r="E451" s="15"/>
    </row>
    <row r="452" spans="1:5" s="13" customFormat="1" x14ac:dyDescent="0.2">
      <c r="A452" s="264" t="s">
        <v>1716</v>
      </c>
      <c r="B452" s="264" t="s">
        <v>1707</v>
      </c>
      <c r="C452" s="264" t="s">
        <v>1734</v>
      </c>
      <c r="D452" s="264" t="s">
        <v>1735</v>
      </c>
      <c r="E452" s="15"/>
    </row>
    <row r="453" spans="1:5" s="13" customFormat="1" x14ac:dyDescent="0.2">
      <c r="A453" s="264" t="s">
        <v>1716</v>
      </c>
      <c r="B453" s="264" t="s">
        <v>1167</v>
      </c>
      <c r="C453" s="264" t="s">
        <v>1391</v>
      </c>
      <c r="D453" s="264" t="s">
        <v>1392</v>
      </c>
      <c r="E453" s="15"/>
    </row>
    <row r="454" spans="1:5" s="13" customFormat="1" x14ac:dyDescent="0.2">
      <c r="A454" s="264" t="s">
        <v>1716</v>
      </c>
      <c r="B454" s="264" t="s">
        <v>1173</v>
      </c>
      <c r="C454" s="264" t="s">
        <v>1050</v>
      </c>
      <c r="D454" s="264" t="s">
        <v>1051</v>
      </c>
      <c r="E454" s="15"/>
    </row>
    <row r="455" spans="1:5" s="13" customFormat="1" x14ac:dyDescent="0.2">
      <c r="A455" s="264" t="s">
        <v>1716</v>
      </c>
      <c r="B455" s="264" t="s">
        <v>1174</v>
      </c>
      <c r="C455" s="264" t="s">
        <v>1052</v>
      </c>
      <c r="D455" s="264" t="s">
        <v>1053</v>
      </c>
      <c r="E455" s="15"/>
    </row>
    <row r="456" spans="1:5" x14ac:dyDescent="0.2">
      <c r="D456" s="13"/>
      <c r="E456" s="4"/>
    </row>
    <row r="457" spans="1:5" x14ac:dyDescent="0.2">
      <c r="A457" t="s">
        <v>1736</v>
      </c>
      <c r="B457">
        <v>1</v>
      </c>
      <c r="C457" t="s">
        <v>1737</v>
      </c>
      <c r="D457" t="s">
        <v>1738</v>
      </c>
      <c r="E457" s="4"/>
    </row>
    <row r="458" spans="1:5" x14ac:dyDescent="0.2">
      <c r="A458" t="s">
        <v>1736</v>
      </c>
      <c r="B458">
        <v>2</v>
      </c>
      <c r="C458" t="s">
        <v>1739</v>
      </c>
      <c r="D458" t="s">
        <v>1740</v>
      </c>
      <c r="E458" s="4"/>
    </row>
    <row r="459" spans="1:5" x14ac:dyDescent="0.2">
      <c r="A459" t="s">
        <v>1736</v>
      </c>
      <c r="B459">
        <v>3</v>
      </c>
      <c r="C459" t="s">
        <v>1741</v>
      </c>
      <c r="D459" t="s">
        <v>1742</v>
      </c>
      <c r="E459" s="4"/>
    </row>
    <row r="460" spans="1:5" x14ac:dyDescent="0.2">
      <c r="A460" t="s">
        <v>1736</v>
      </c>
      <c r="B460">
        <v>4</v>
      </c>
      <c r="C460" t="s">
        <v>1743</v>
      </c>
      <c r="D460" t="s">
        <v>1744</v>
      </c>
      <c r="E460" s="4"/>
    </row>
    <row r="461" spans="1:5" x14ac:dyDescent="0.2">
      <c r="A461" t="s">
        <v>1736</v>
      </c>
      <c r="B461">
        <v>5</v>
      </c>
      <c r="C461" t="s">
        <v>1391</v>
      </c>
      <c r="D461" t="s">
        <v>1392</v>
      </c>
      <c r="E461" s="4"/>
    </row>
    <row r="462" spans="1:5" x14ac:dyDescent="0.2">
      <c r="A462" t="s">
        <v>1736</v>
      </c>
      <c r="B462" s="262">
        <v>6</v>
      </c>
      <c r="C462" t="s">
        <v>1050</v>
      </c>
      <c r="D462" t="s">
        <v>1051</v>
      </c>
      <c r="E462" s="4"/>
    </row>
    <row r="463" spans="1:5" x14ac:dyDescent="0.2">
      <c r="A463" t="s">
        <v>1736</v>
      </c>
      <c r="B463" s="262">
        <v>7</v>
      </c>
      <c r="C463" t="s">
        <v>1052</v>
      </c>
      <c r="D463" t="s">
        <v>1053</v>
      </c>
      <c r="E463" s="4"/>
    </row>
    <row r="464" spans="1:5" x14ac:dyDescent="0.2">
      <c r="E464" s="4"/>
    </row>
    <row r="465" spans="1:6" x14ac:dyDescent="0.2">
      <c r="A465" t="s">
        <v>1745</v>
      </c>
      <c r="B465" t="s">
        <v>1538</v>
      </c>
      <c r="C465" t="s">
        <v>1539</v>
      </c>
      <c r="D465" t="s">
        <v>1540</v>
      </c>
      <c r="E465" s="4"/>
      <c r="F465" s="13"/>
    </row>
    <row r="466" spans="1:6" x14ac:dyDescent="0.2">
      <c r="A466" t="s">
        <v>1745</v>
      </c>
      <c r="B466" t="s">
        <v>1541</v>
      </c>
      <c r="C466" t="s">
        <v>1746</v>
      </c>
      <c r="D466" t="s">
        <v>1747</v>
      </c>
      <c r="E466" s="4"/>
      <c r="F466" s="13"/>
    </row>
    <row r="467" spans="1:6" x14ac:dyDescent="0.2">
      <c r="A467" t="s">
        <v>1745</v>
      </c>
      <c r="B467" t="s">
        <v>1544</v>
      </c>
      <c r="C467" t="s">
        <v>1748</v>
      </c>
      <c r="D467" t="s">
        <v>1546</v>
      </c>
      <c r="E467" s="4"/>
      <c r="F467" s="13"/>
    </row>
    <row r="468" spans="1:6" x14ac:dyDescent="0.2">
      <c r="A468" t="s">
        <v>1745</v>
      </c>
      <c r="B468" t="s">
        <v>1547</v>
      </c>
      <c r="C468" t="s">
        <v>1749</v>
      </c>
      <c r="D468" t="s">
        <v>1549</v>
      </c>
      <c r="E468" s="4"/>
      <c r="F468" s="13"/>
    </row>
    <row r="469" spans="1:6" x14ac:dyDescent="0.2">
      <c r="A469" t="s">
        <v>1745</v>
      </c>
      <c r="B469" t="s">
        <v>1750</v>
      </c>
      <c r="C469" t="s">
        <v>1551</v>
      </c>
      <c r="D469" t="s">
        <v>1552</v>
      </c>
      <c r="E469" s="4"/>
      <c r="F469" s="13"/>
    </row>
    <row r="470" spans="1:6" x14ac:dyDescent="0.2">
      <c r="A470" t="s">
        <v>1745</v>
      </c>
      <c r="B470" t="s">
        <v>1553</v>
      </c>
      <c r="C470" t="s">
        <v>1751</v>
      </c>
      <c r="D470" t="s">
        <v>1752</v>
      </c>
      <c r="E470" s="4"/>
      <c r="F470" s="13"/>
    </row>
    <row r="471" spans="1:6" x14ac:dyDescent="0.2">
      <c r="A471" t="s">
        <v>1745</v>
      </c>
      <c r="B471" t="s">
        <v>1556</v>
      </c>
      <c r="C471" t="s">
        <v>1753</v>
      </c>
      <c r="D471" t="s">
        <v>1558</v>
      </c>
      <c r="E471" s="4"/>
      <c r="F471" s="13"/>
    </row>
    <row r="472" spans="1:6" x14ac:dyDescent="0.2">
      <c r="A472" t="s">
        <v>1745</v>
      </c>
      <c r="B472" t="s">
        <v>1167</v>
      </c>
      <c r="C472" t="s">
        <v>1455</v>
      </c>
      <c r="D472" t="s">
        <v>1456</v>
      </c>
      <c r="E472" s="4"/>
    </row>
    <row r="473" spans="1:6" x14ac:dyDescent="0.2">
      <c r="A473" t="s">
        <v>1745</v>
      </c>
      <c r="B473" t="s">
        <v>1173</v>
      </c>
      <c r="C473" t="s">
        <v>1050</v>
      </c>
      <c r="D473" t="s">
        <v>1051</v>
      </c>
      <c r="E473" s="4"/>
    </row>
    <row r="474" spans="1:6" x14ac:dyDescent="0.2">
      <c r="A474" t="s">
        <v>1745</v>
      </c>
      <c r="B474" t="s">
        <v>1174</v>
      </c>
      <c r="C474" t="s">
        <v>1052</v>
      </c>
      <c r="D474" t="s">
        <v>1053</v>
      </c>
      <c r="E474" s="4"/>
    </row>
    <row r="475" spans="1:6" x14ac:dyDescent="0.2">
      <c r="E475" s="4"/>
    </row>
    <row r="476" spans="1:6" x14ac:dyDescent="0.2">
      <c r="A476" t="s">
        <v>1754</v>
      </c>
      <c r="B476">
        <v>1</v>
      </c>
      <c r="C476" t="s">
        <v>1755</v>
      </c>
      <c r="D476" t="s">
        <v>1756</v>
      </c>
      <c r="E476" s="4"/>
    </row>
    <row r="477" spans="1:6" x14ac:dyDescent="0.2">
      <c r="A477" t="s">
        <v>1754</v>
      </c>
      <c r="B477">
        <v>2</v>
      </c>
      <c r="C477" t="s">
        <v>1757</v>
      </c>
      <c r="D477" t="s">
        <v>1758</v>
      </c>
      <c r="E477" s="4"/>
    </row>
    <row r="478" spans="1:6" x14ac:dyDescent="0.2">
      <c r="A478" t="s">
        <v>1754</v>
      </c>
      <c r="B478">
        <v>3</v>
      </c>
      <c r="C478" t="s">
        <v>1759</v>
      </c>
      <c r="D478" t="s">
        <v>1760</v>
      </c>
      <c r="E478" s="4"/>
    </row>
    <row r="479" spans="1:6" x14ac:dyDescent="0.2">
      <c r="A479" t="s">
        <v>1754</v>
      </c>
      <c r="B479">
        <v>4</v>
      </c>
      <c r="C479" t="s">
        <v>1761</v>
      </c>
      <c r="D479" t="s">
        <v>1051</v>
      </c>
      <c r="E479" s="4"/>
    </row>
    <row r="480" spans="1:6" x14ac:dyDescent="0.2">
      <c r="A480" t="s">
        <v>1754</v>
      </c>
      <c r="B480" s="262">
        <v>5</v>
      </c>
      <c r="C480" t="s">
        <v>1052</v>
      </c>
      <c r="D480" t="s">
        <v>1053</v>
      </c>
      <c r="E480" s="4"/>
    </row>
    <row r="481" spans="1:5" x14ac:dyDescent="0.2">
      <c r="E481" s="4"/>
    </row>
    <row r="482" spans="1:5" x14ac:dyDescent="0.2">
      <c r="A482" t="s">
        <v>1762</v>
      </c>
      <c r="B482">
        <v>1</v>
      </c>
      <c r="C482" t="s">
        <v>1046</v>
      </c>
      <c r="D482" t="s">
        <v>1057</v>
      </c>
      <c r="E482" s="4"/>
    </row>
    <row r="483" spans="1:5" x14ac:dyDescent="0.2">
      <c r="A483" t="s">
        <v>1762</v>
      </c>
      <c r="B483">
        <v>2</v>
      </c>
      <c r="C483" t="s">
        <v>1763</v>
      </c>
      <c r="D483" t="s">
        <v>1764</v>
      </c>
      <c r="E483" s="4"/>
    </row>
    <row r="484" spans="1:5" x14ac:dyDescent="0.2">
      <c r="A484" t="s">
        <v>1762</v>
      </c>
      <c r="B484">
        <v>3</v>
      </c>
      <c r="C484" t="s">
        <v>1765</v>
      </c>
      <c r="D484" t="s">
        <v>1766</v>
      </c>
      <c r="E484" s="4"/>
    </row>
    <row r="485" spans="1:5" x14ac:dyDescent="0.2">
      <c r="A485" t="s">
        <v>1762</v>
      </c>
      <c r="B485">
        <v>4</v>
      </c>
      <c r="C485" t="s">
        <v>1767</v>
      </c>
      <c r="D485" t="s">
        <v>1768</v>
      </c>
      <c r="E485" s="4"/>
    </row>
    <row r="486" spans="1:5" x14ac:dyDescent="0.2">
      <c r="A486" t="s">
        <v>1762</v>
      </c>
      <c r="B486" s="262">
        <v>5</v>
      </c>
      <c r="C486" t="s">
        <v>1050</v>
      </c>
      <c r="D486" t="s">
        <v>1051</v>
      </c>
      <c r="E486" s="4"/>
    </row>
    <row r="487" spans="1:5" x14ac:dyDescent="0.2">
      <c r="A487" t="s">
        <v>1762</v>
      </c>
      <c r="B487" s="262">
        <v>6</v>
      </c>
      <c r="C487" t="s">
        <v>1052</v>
      </c>
      <c r="D487" t="s">
        <v>1053</v>
      </c>
      <c r="E487" s="4"/>
    </row>
    <row r="488" spans="1:5" x14ac:dyDescent="0.2">
      <c r="E488" s="4"/>
    </row>
    <row r="489" spans="1:5" x14ac:dyDescent="0.2">
      <c r="A489" t="s">
        <v>897</v>
      </c>
      <c r="B489" t="s">
        <v>1769</v>
      </c>
      <c r="C489" t="s">
        <v>1770</v>
      </c>
      <c r="D489" t="s">
        <v>1771</v>
      </c>
      <c r="E489" s="4"/>
    </row>
    <row r="490" spans="1:5" x14ac:dyDescent="0.2">
      <c r="A490" t="s">
        <v>897</v>
      </c>
      <c r="B490" t="s">
        <v>1772</v>
      </c>
      <c r="C490" t="s">
        <v>1773</v>
      </c>
      <c r="D490" t="s">
        <v>1774</v>
      </c>
      <c r="E490" s="4"/>
    </row>
    <row r="491" spans="1:5" x14ac:dyDescent="0.2">
      <c r="A491" t="s">
        <v>897</v>
      </c>
      <c r="B491" t="s">
        <v>1775</v>
      </c>
      <c r="C491" t="s">
        <v>1776</v>
      </c>
      <c r="D491" t="s">
        <v>1777</v>
      </c>
      <c r="E491" s="4"/>
    </row>
    <row r="492" spans="1:5" x14ac:dyDescent="0.2">
      <c r="A492" t="s">
        <v>897</v>
      </c>
      <c r="B492" t="s">
        <v>1778</v>
      </c>
      <c r="C492" t="s">
        <v>1779</v>
      </c>
      <c r="D492" t="s">
        <v>1780</v>
      </c>
      <c r="E492" s="4"/>
    </row>
    <row r="493" spans="1:5" x14ac:dyDescent="0.2">
      <c r="A493" t="s">
        <v>897</v>
      </c>
      <c r="B493" t="s">
        <v>1781</v>
      </c>
      <c r="C493" t="s">
        <v>1782</v>
      </c>
      <c r="D493" t="s">
        <v>1783</v>
      </c>
      <c r="E493" s="4"/>
    </row>
    <row r="494" spans="1:5" x14ac:dyDescent="0.2">
      <c r="A494" t="s">
        <v>897</v>
      </c>
      <c r="B494" t="s">
        <v>1784</v>
      </c>
      <c r="C494" t="s">
        <v>1663</v>
      </c>
      <c r="D494" t="s">
        <v>1664</v>
      </c>
      <c r="E494" s="4"/>
    </row>
    <row r="495" spans="1:5" x14ac:dyDescent="0.2">
      <c r="A495" t="s">
        <v>897</v>
      </c>
      <c r="B495" t="s">
        <v>1785</v>
      </c>
      <c r="C495" t="s">
        <v>1786</v>
      </c>
      <c r="D495" t="s">
        <v>1787</v>
      </c>
      <c r="E495" s="4"/>
    </row>
    <row r="496" spans="1:5" x14ac:dyDescent="0.2">
      <c r="A496" t="s">
        <v>897</v>
      </c>
      <c r="B496" t="s">
        <v>1788</v>
      </c>
      <c r="C496" t="s">
        <v>1789</v>
      </c>
      <c r="D496" t="s">
        <v>1790</v>
      </c>
      <c r="E496" s="4"/>
    </row>
    <row r="497" spans="1:6" x14ac:dyDescent="0.2">
      <c r="A497" t="s">
        <v>897</v>
      </c>
      <c r="B497" t="s">
        <v>1791</v>
      </c>
      <c r="C497" t="s">
        <v>1792</v>
      </c>
      <c r="D497" t="s">
        <v>1793</v>
      </c>
      <c r="E497" s="4"/>
    </row>
    <row r="498" spans="1:6" x14ac:dyDescent="0.2">
      <c r="A498" t="s">
        <v>897</v>
      </c>
      <c r="B498" t="s">
        <v>1794</v>
      </c>
      <c r="C498" t="s">
        <v>1795</v>
      </c>
      <c r="D498" t="s">
        <v>1796</v>
      </c>
      <c r="E498" s="4"/>
    </row>
    <row r="499" spans="1:6" x14ac:dyDescent="0.2">
      <c r="A499" t="s">
        <v>897</v>
      </c>
      <c r="B499" t="s">
        <v>1797</v>
      </c>
      <c r="C499" t="s">
        <v>1798</v>
      </c>
      <c r="D499" t="s">
        <v>1799</v>
      </c>
      <c r="E499" s="4"/>
    </row>
    <row r="500" spans="1:6" x14ac:dyDescent="0.2">
      <c r="A500" t="s">
        <v>897</v>
      </c>
      <c r="B500" t="s">
        <v>1800</v>
      </c>
      <c r="C500" t="s">
        <v>1801</v>
      </c>
      <c r="D500" t="s">
        <v>1802</v>
      </c>
      <c r="E500" s="4"/>
    </row>
    <row r="501" spans="1:6" x14ac:dyDescent="0.2">
      <c r="E501" s="4"/>
    </row>
    <row r="502" spans="1:6" x14ac:dyDescent="0.2">
      <c r="A502" t="s">
        <v>1803</v>
      </c>
      <c r="B502" t="s">
        <v>1804</v>
      </c>
      <c r="C502" t="s">
        <v>1805</v>
      </c>
      <c r="D502" t="s">
        <v>1806</v>
      </c>
      <c r="E502" s="4"/>
      <c r="F502" s="13"/>
    </row>
    <row r="503" spans="1:6" x14ac:dyDescent="0.2">
      <c r="A503" t="s">
        <v>1803</v>
      </c>
      <c r="B503" t="s">
        <v>1807</v>
      </c>
      <c r="C503" t="s">
        <v>1808</v>
      </c>
      <c r="D503" t="s">
        <v>1809</v>
      </c>
      <c r="E503" s="4"/>
      <c r="F503" s="13"/>
    </row>
    <row r="504" spans="1:6" x14ac:dyDescent="0.2">
      <c r="A504" t="s">
        <v>1803</v>
      </c>
      <c r="B504" t="s">
        <v>1810</v>
      </c>
      <c r="C504" t="s">
        <v>1811</v>
      </c>
      <c r="D504" t="s">
        <v>1812</v>
      </c>
      <c r="E504" s="4"/>
      <c r="F504" s="13"/>
    </row>
    <row r="505" spans="1:6" x14ac:dyDescent="0.2">
      <c r="A505" t="s">
        <v>1803</v>
      </c>
      <c r="B505" t="s">
        <v>1813</v>
      </c>
      <c r="C505" t="s">
        <v>1814</v>
      </c>
      <c r="D505" t="s">
        <v>1815</v>
      </c>
      <c r="E505" s="4"/>
      <c r="F505" s="13"/>
    </row>
    <row r="506" spans="1:6" x14ac:dyDescent="0.2">
      <c r="A506" t="s">
        <v>1803</v>
      </c>
      <c r="B506" t="s">
        <v>1816</v>
      </c>
      <c r="C506" t="s">
        <v>1817</v>
      </c>
      <c r="D506" t="s">
        <v>1818</v>
      </c>
      <c r="E506" s="4"/>
      <c r="F506" s="13"/>
    </row>
    <row r="507" spans="1:6" x14ac:dyDescent="0.2">
      <c r="A507" t="s">
        <v>1803</v>
      </c>
      <c r="B507" t="s">
        <v>1819</v>
      </c>
      <c r="C507" t="s">
        <v>1820</v>
      </c>
      <c r="D507" t="s">
        <v>1821</v>
      </c>
      <c r="E507" s="4"/>
      <c r="F507" s="13"/>
    </row>
    <row r="508" spans="1:6" x14ac:dyDescent="0.2">
      <c r="A508" t="s">
        <v>1803</v>
      </c>
      <c r="B508" t="s">
        <v>634</v>
      </c>
      <c r="C508" t="s">
        <v>1822</v>
      </c>
      <c r="D508" t="s">
        <v>1823</v>
      </c>
      <c r="E508" s="4"/>
      <c r="F508" s="13"/>
    </row>
    <row r="509" spans="1:6" x14ac:dyDescent="0.2">
      <c r="A509" t="s">
        <v>1803</v>
      </c>
      <c r="B509" t="s">
        <v>1824</v>
      </c>
      <c r="C509" t="s">
        <v>1825</v>
      </c>
      <c r="D509" t="s">
        <v>1826</v>
      </c>
      <c r="E509" s="4"/>
      <c r="F509" s="13"/>
    </row>
    <row r="510" spans="1:6" x14ac:dyDescent="0.2">
      <c r="A510" t="s">
        <v>1803</v>
      </c>
      <c r="B510" t="s">
        <v>1827</v>
      </c>
      <c r="C510" t="s">
        <v>1828</v>
      </c>
      <c r="D510" t="s">
        <v>1829</v>
      </c>
      <c r="E510" s="4"/>
      <c r="F510" s="13"/>
    </row>
    <row r="511" spans="1:6" x14ac:dyDescent="0.2">
      <c r="A511" t="s">
        <v>1803</v>
      </c>
      <c r="B511" t="s">
        <v>1830</v>
      </c>
      <c r="C511" t="s">
        <v>1831</v>
      </c>
      <c r="D511" t="s">
        <v>1832</v>
      </c>
      <c r="E511" s="4"/>
      <c r="F511" s="13"/>
    </row>
    <row r="512" spans="1:6" x14ac:dyDescent="0.2">
      <c r="A512" t="s">
        <v>1803</v>
      </c>
      <c r="B512" t="s">
        <v>1833</v>
      </c>
      <c r="C512" t="s">
        <v>1834</v>
      </c>
      <c r="D512" t="s">
        <v>1835</v>
      </c>
      <c r="E512" s="4"/>
      <c r="F512" s="13"/>
    </row>
    <row r="513" spans="1:6" x14ac:dyDescent="0.2">
      <c r="A513" t="s">
        <v>1803</v>
      </c>
      <c r="B513" t="s">
        <v>1836</v>
      </c>
      <c r="C513" t="s">
        <v>1837</v>
      </c>
      <c r="D513" t="s">
        <v>1838</v>
      </c>
      <c r="E513" s="4"/>
      <c r="F513" s="13"/>
    </row>
    <row r="514" spans="1:6" x14ac:dyDescent="0.2">
      <c r="A514" t="s">
        <v>1803</v>
      </c>
      <c r="B514" t="s">
        <v>1839</v>
      </c>
      <c r="C514" t="s">
        <v>1840</v>
      </c>
      <c r="D514" t="s">
        <v>1841</v>
      </c>
      <c r="E514" s="4"/>
      <c r="F514" s="13"/>
    </row>
    <row r="515" spans="1:6" x14ac:dyDescent="0.2">
      <c r="A515" t="s">
        <v>1803</v>
      </c>
      <c r="B515" t="s">
        <v>1842</v>
      </c>
      <c r="C515" t="s">
        <v>1843</v>
      </c>
      <c r="D515" t="s">
        <v>1844</v>
      </c>
      <c r="E515" s="4"/>
      <c r="F515" s="13"/>
    </row>
    <row r="516" spans="1:6" x14ac:dyDescent="0.2">
      <c r="A516" t="s">
        <v>1803</v>
      </c>
      <c r="B516" t="s">
        <v>1845</v>
      </c>
      <c r="C516" t="s">
        <v>1846</v>
      </c>
      <c r="D516" t="s">
        <v>1847</v>
      </c>
      <c r="E516" s="4"/>
      <c r="F516" s="13"/>
    </row>
    <row r="517" spans="1:6" x14ac:dyDescent="0.2">
      <c r="A517" t="s">
        <v>1803</v>
      </c>
      <c r="B517" t="s">
        <v>1848</v>
      </c>
      <c r="C517" t="s">
        <v>1849</v>
      </c>
      <c r="D517" t="s">
        <v>1850</v>
      </c>
      <c r="E517" s="4"/>
      <c r="F517" s="13"/>
    </row>
    <row r="518" spans="1:6" x14ac:dyDescent="0.2">
      <c r="A518" t="s">
        <v>1803</v>
      </c>
      <c r="B518" t="s">
        <v>1167</v>
      </c>
      <c r="C518" t="s">
        <v>1391</v>
      </c>
      <c r="D518" t="s">
        <v>1392</v>
      </c>
      <c r="E518" s="4"/>
    </row>
    <row r="519" spans="1:6" x14ac:dyDescent="0.2">
      <c r="A519" t="s">
        <v>1803</v>
      </c>
      <c r="B519" t="s">
        <v>1173</v>
      </c>
      <c r="C519" t="s">
        <v>1050</v>
      </c>
      <c r="D519" t="s">
        <v>1051</v>
      </c>
      <c r="E519" s="4"/>
    </row>
    <row r="520" spans="1:6" x14ac:dyDescent="0.2">
      <c r="A520" t="s">
        <v>1803</v>
      </c>
      <c r="B520" t="s">
        <v>1174</v>
      </c>
      <c r="C520" t="s">
        <v>1052</v>
      </c>
      <c r="D520" t="s">
        <v>1053</v>
      </c>
      <c r="E520" s="4"/>
    </row>
    <row r="521" spans="1:6" x14ac:dyDescent="0.2">
      <c r="E521" s="4"/>
    </row>
    <row r="522" spans="1:6" x14ac:dyDescent="0.2">
      <c r="A522" t="s">
        <v>1851</v>
      </c>
      <c r="B522" t="s">
        <v>1804</v>
      </c>
      <c r="C522" t="s">
        <v>1805</v>
      </c>
      <c r="D522" t="s">
        <v>1806</v>
      </c>
      <c r="E522" s="4"/>
      <c r="F522" s="13"/>
    </row>
    <row r="523" spans="1:6" x14ac:dyDescent="0.2">
      <c r="A523" t="s">
        <v>1851</v>
      </c>
      <c r="B523" t="s">
        <v>1807</v>
      </c>
      <c r="C523" t="s">
        <v>1852</v>
      </c>
      <c r="D523" t="s">
        <v>1809</v>
      </c>
      <c r="E523" s="4"/>
      <c r="F523" s="13"/>
    </row>
    <row r="524" spans="1:6" x14ac:dyDescent="0.2">
      <c r="A524" t="s">
        <v>1851</v>
      </c>
      <c r="B524" t="s">
        <v>1810</v>
      </c>
      <c r="C524" t="s">
        <v>1853</v>
      </c>
      <c r="D524" t="s">
        <v>1854</v>
      </c>
      <c r="E524" s="4"/>
      <c r="F524" s="13"/>
    </row>
    <row r="525" spans="1:6" x14ac:dyDescent="0.2">
      <c r="A525" t="s">
        <v>1851</v>
      </c>
      <c r="B525" t="s">
        <v>1855</v>
      </c>
      <c r="C525" t="s">
        <v>1856</v>
      </c>
      <c r="D525" t="s">
        <v>1857</v>
      </c>
      <c r="E525" s="4"/>
      <c r="F525" s="13"/>
    </row>
    <row r="526" spans="1:6" x14ac:dyDescent="0.2">
      <c r="A526" t="s">
        <v>1851</v>
      </c>
      <c r="B526" t="s">
        <v>1858</v>
      </c>
      <c r="C526" t="s">
        <v>1859</v>
      </c>
      <c r="D526" t="s">
        <v>1860</v>
      </c>
      <c r="E526" s="4"/>
      <c r="F526" s="13"/>
    </row>
    <row r="527" spans="1:6" x14ac:dyDescent="0.2">
      <c r="A527" t="s">
        <v>1851</v>
      </c>
      <c r="B527" t="s">
        <v>1861</v>
      </c>
      <c r="C527" t="s">
        <v>1862</v>
      </c>
      <c r="D527" t="s">
        <v>1863</v>
      </c>
      <c r="E527" s="4"/>
      <c r="F527" s="13"/>
    </row>
    <row r="528" spans="1:6" x14ac:dyDescent="0.2">
      <c r="A528" t="s">
        <v>1851</v>
      </c>
      <c r="B528" t="s">
        <v>1864</v>
      </c>
      <c r="C528" t="s">
        <v>1843</v>
      </c>
      <c r="D528" t="s">
        <v>1844</v>
      </c>
      <c r="E528" s="4"/>
      <c r="F528" s="13"/>
    </row>
    <row r="529" spans="1:6" x14ac:dyDescent="0.2">
      <c r="A529" t="s">
        <v>1851</v>
      </c>
      <c r="B529" t="s">
        <v>1865</v>
      </c>
      <c r="C529" t="s">
        <v>1849</v>
      </c>
      <c r="D529" t="s">
        <v>1866</v>
      </c>
      <c r="E529" s="4"/>
      <c r="F529" s="13"/>
    </row>
    <row r="530" spans="1:6" x14ac:dyDescent="0.2">
      <c r="A530" t="s">
        <v>1851</v>
      </c>
      <c r="B530" t="s">
        <v>1167</v>
      </c>
      <c r="C530" t="s">
        <v>1391</v>
      </c>
      <c r="D530" t="s">
        <v>1392</v>
      </c>
      <c r="E530" s="4"/>
      <c r="F530" s="13"/>
    </row>
    <row r="531" spans="1:6" x14ac:dyDescent="0.2">
      <c r="A531" t="s">
        <v>1851</v>
      </c>
      <c r="B531" t="s">
        <v>1170</v>
      </c>
      <c r="C531" t="s">
        <v>1867</v>
      </c>
      <c r="D531" t="s">
        <v>1868</v>
      </c>
      <c r="E531" s="4"/>
      <c r="F531" s="13"/>
    </row>
    <row r="532" spans="1:6" x14ac:dyDescent="0.2">
      <c r="A532" t="s">
        <v>1851</v>
      </c>
      <c r="B532" t="s">
        <v>1173</v>
      </c>
      <c r="C532" t="s">
        <v>1761</v>
      </c>
      <c r="D532" t="s">
        <v>1051</v>
      </c>
      <c r="E532" s="4"/>
    </row>
    <row r="533" spans="1:6" x14ac:dyDescent="0.2">
      <c r="A533" t="s">
        <v>1851</v>
      </c>
      <c r="B533" t="s">
        <v>1174</v>
      </c>
      <c r="C533" t="s">
        <v>1052</v>
      </c>
      <c r="D533" t="s">
        <v>1053</v>
      </c>
      <c r="E533" s="4"/>
    </row>
    <row r="534" spans="1:6" x14ac:dyDescent="0.2">
      <c r="E534" s="4"/>
    </row>
    <row r="535" spans="1:6" x14ac:dyDescent="0.2">
      <c r="A535" t="s">
        <v>1869</v>
      </c>
      <c r="B535">
        <v>1</v>
      </c>
      <c r="C535" t="s">
        <v>1046</v>
      </c>
      <c r="D535" t="s">
        <v>1870</v>
      </c>
      <c r="E535" s="4"/>
      <c r="F535" s="13"/>
    </row>
    <row r="536" spans="1:6" x14ac:dyDescent="0.2">
      <c r="A536" t="s">
        <v>1869</v>
      </c>
      <c r="B536">
        <v>2</v>
      </c>
      <c r="C536" t="s">
        <v>1871</v>
      </c>
      <c r="D536" t="s">
        <v>1872</v>
      </c>
      <c r="E536" s="4"/>
      <c r="F536" s="13"/>
    </row>
    <row r="537" spans="1:6" x14ac:dyDescent="0.2">
      <c r="A537" t="s">
        <v>1869</v>
      </c>
      <c r="B537">
        <v>3</v>
      </c>
      <c r="C537" t="s">
        <v>1873</v>
      </c>
      <c r="D537" t="s">
        <v>1874</v>
      </c>
      <c r="E537" s="4"/>
      <c r="F537" s="13"/>
    </row>
    <row r="538" spans="1:6" x14ac:dyDescent="0.2">
      <c r="A538" t="s">
        <v>1869</v>
      </c>
      <c r="B538">
        <v>4</v>
      </c>
      <c r="C538" t="s">
        <v>1875</v>
      </c>
      <c r="D538" t="s">
        <v>1876</v>
      </c>
      <c r="E538" s="4"/>
      <c r="F538" s="13"/>
    </row>
    <row r="539" spans="1:6" x14ac:dyDescent="0.2">
      <c r="A539" t="s">
        <v>1869</v>
      </c>
      <c r="B539">
        <v>5</v>
      </c>
      <c r="C539" t="s">
        <v>1877</v>
      </c>
      <c r="D539" t="s">
        <v>1878</v>
      </c>
      <c r="E539" s="4"/>
      <c r="F539" s="13"/>
    </row>
    <row r="540" spans="1:6" x14ac:dyDescent="0.2">
      <c r="A540" t="s">
        <v>1869</v>
      </c>
      <c r="B540">
        <v>6</v>
      </c>
      <c r="C540" t="s">
        <v>1879</v>
      </c>
      <c r="D540" t="s">
        <v>1880</v>
      </c>
      <c r="E540" s="4"/>
      <c r="F540" s="13"/>
    </row>
    <row r="541" spans="1:6" x14ac:dyDescent="0.2">
      <c r="A541" t="s">
        <v>1869</v>
      </c>
      <c r="B541">
        <v>7</v>
      </c>
      <c r="C541" t="s">
        <v>1050</v>
      </c>
      <c r="D541" t="s">
        <v>1051</v>
      </c>
      <c r="E541" s="4"/>
      <c r="F541" s="13"/>
    </row>
    <row r="542" spans="1:6" x14ac:dyDescent="0.2">
      <c r="A542" t="s">
        <v>1869</v>
      </c>
      <c r="B542">
        <v>8</v>
      </c>
      <c r="C542" t="s">
        <v>1052</v>
      </c>
      <c r="D542" t="s">
        <v>1053</v>
      </c>
      <c r="E542" s="4"/>
      <c r="F542" s="13"/>
    </row>
    <row r="543" spans="1:6" x14ac:dyDescent="0.2">
      <c r="E543" s="4"/>
      <c r="F543" s="13"/>
    </row>
    <row r="544" spans="1:6" x14ac:dyDescent="0.2">
      <c r="A544" t="s">
        <v>1881</v>
      </c>
      <c r="B544" t="s">
        <v>1882</v>
      </c>
      <c r="C544" t="s">
        <v>1883</v>
      </c>
      <c r="D544" t="s">
        <v>1883</v>
      </c>
      <c r="E544" s="4"/>
      <c r="F544" s="13"/>
    </row>
    <row r="545" spans="1:6" x14ac:dyDescent="0.2">
      <c r="A545" t="s">
        <v>1881</v>
      </c>
      <c r="B545" t="s">
        <v>1884</v>
      </c>
      <c r="C545" t="s">
        <v>1885</v>
      </c>
      <c r="D545" t="s">
        <v>1886</v>
      </c>
      <c r="E545" s="4"/>
      <c r="F545" s="13"/>
    </row>
    <row r="546" spans="1:6" x14ac:dyDescent="0.2">
      <c r="A546" t="s">
        <v>1881</v>
      </c>
      <c r="B546" t="s">
        <v>1887</v>
      </c>
      <c r="C546" t="s">
        <v>1888</v>
      </c>
      <c r="D546" t="s">
        <v>1889</v>
      </c>
      <c r="E546" s="4"/>
      <c r="F546" s="13"/>
    </row>
    <row r="547" spans="1:6" x14ac:dyDescent="0.2">
      <c r="A547" t="s">
        <v>1881</v>
      </c>
      <c r="B547" t="s">
        <v>1449</v>
      </c>
      <c r="C547" t="s">
        <v>1890</v>
      </c>
      <c r="D547" t="s">
        <v>1891</v>
      </c>
      <c r="E547" s="4"/>
      <c r="F547" s="13"/>
    </row>
    <row r="548" spans="1:6" x14ac:dyDescent="0.2">
      <c r="A548" t="s">
        <v>1881</v>
      </c>
      <c r="B548" t="s">
        <v>1443</v>
      </c>
      <c r="C548" t="s">
        <v>1892</v>
      </c>
      <c r="D548" t="s">
        <v>1893</v>
      </c>
      <c r="E548" s="4"/>
      <c r="F548" s="13"/>
    </row>
    <row r="549" spans="1:6" x14ac:dyDescent="0.2">
      <c r="A549" t="s">
        <v>1881</v>
      </c>
      <c r="B549" t="s">
        <v>1173</v>
      </c>
      <c r="C549" t="s">
        <v>1050</v>
      </c>
      <c r="D549" t="s">
        <v>1051</v>
      </c>
      <c r="E549" s="4"/>
      <c r="F549" s="13"/>
    </row>
    <row r="550" spans="1:6" x14ac:dyDescent="0.2">
      <c r="A550" t="s">
        <v>1881</v>
      </c>
      <c r="B550" t="s">
        <v>1174</v>
      </c>
      <c r="C550" t="s">
        <v>1052</v>
      </c>
      <c r="D550" t="s">
        <v>1053</v>
      </c>
      <c r="E550" s="4"/>
    </row>
    <row r="551" spans="1:6" x14ac:dyDescent="0.2">
      <c r="E551" s="4"/>
    </row>
    <row r="552" spans="1:6" x14ac:dyDescent="0.2">
      <c r="A552" t="s">
        <v>1894</v>
      </c>
      <c r="B552" t="s">
        <v>1895</v>
      </c>
      <c r="C552" t="s">
        <v>1896</v>
      </c>
      <c r="D552" t="s">
        <v>1897</v>
      </c>
      <c r="E552" s="4"/>
    </row>
    <row r="553" spans="1:6" x14ac:dyDescent="0.2">
      <c r="A553" t="s">
        <v>1894</v>
      </c>
      <c r="B553" t="s">
        <v>1898</v>
      </c>
      <c r="C553" t="s">
        <v>1899</v>
      </c>
      <c r="D553" t="s">
        <v>1900</v>
      </c>
      <c r="E553" s="4"/>
    </row>
    <row r="554" spans="1:6" x14ac:dyDescent="0.2">
      <c r="A554" t="s">
        <v>1894</v>
      </c>
      <c r="B554" t="s">
        <v>1901</v>
      </c>
      <c r="C554" t="s">
        <v>1902</v>
      </c>
      <c r="D554" t="s">
        <v>1903</v>
      </c>
      <c r="E554" s="4"/>
    </row>
    <row r="555" spans="1:6" x14ac:dyDescent="0.2">
      <c r="A555" t="s">
        <v>1894</v>
      </c>
      <c r="B555" t="s">
        <v>1904</v>
      </c>
      <c r="C555" t="s">
        <v>1905</v>
      </c>
      <c r="D555" t="s">
        <v>1906</v>
      </c>
      <c r="E555" s="4"/>
    </row>
    <row r="556" spans="1:6" x14ac:dyDescent="0.2">
      <c r="A556" t="s">
        <v>1894</v>
      </c>
      <c r="B556" t="s">
        <v>1907</v>
      </c>
      <c r="C556" t="s">
        <v>1908</v>
      </c>
      <c r="D556" t="s">
        <v>1909</v>
      </c>
      <c r="E556" s="4"/>
    </row>
    <row r="557" spans="1:6" x14ac:dyDescent="0.2">
      <c r="A557" t="s">
        <v>1894</v>
      </c>
      <c r="B557" t="s">
        <v>1910</v>
      </c>
      <c r="C557" t="s">
        <v>1911</v>
      </c>
      <c r="D557" t="s">
        <v>1912</v>
      </c>
      <c r="E557" s="4"/>
    </row>
    <row r="558" spans="1:6" x14ac:dyDescent="0.2">
      <c r="A558" t="s">
        <v>1894</v>
      </c>
      <c r="B558" t="s">
        <v>1913</v>
      </c>
      <c r="C558" t="s">
        <v>1914</v>
      </c>
      <c r="D558" t="s">
        <v>1915</v>
      </c>
      <c r="E558" s="4"/>
    </row>
    <row r="559" spans="1:6" x14ac:dyDescent="0.2">
      <c r="E559" s="4"/>
    </row>
    <row r="560" spans="1:6" x14ac:dyDescent="0.2">
      <c r="A560" t="s">
        <v>1011</v>
      </c>
      <c r="B560" t="s">
        <v>1916</v>
      </c>
      <c r="C560" t="s">
        <v>1917</v>
      </c>
      <c r="D560" t="s">
        <v>1918</v>
      </c>
      <c r="E560" s="4"/>
    </row>
    <row r="561" spans="1:5" x14ac:dyDescent="0.2">
      <c r="A561" t="s">
        <v>1011</v>
      </c>
      <c r="B561" t="s">
        <v>1919</v>
      </c>
      <c r="C561" t="s">
        <v>1920</v>
      </c>
      <c r="D561" t="s">
        <v>1921</v>
      </c>
      <c r="E561" s="4"/>
    </row>
    <row r="562" spans="1:5" x14ac:dyDescent="0.2">
      <c r="A562" t="s">
        <v>1011</v>
      </c>
      <c r="B562" t="s">
        <v>1922</v>
      </c>
      <c r="C562" t="s">
        <v>1923</v>
      </c>
      <c r="D562" t="s">
        <v>1924</v>
      </c>
      <c r="E562" s="4"/>
    </row>
    <row r="563" spans="1:5" x14ac:dyDescent="0.2">
      <c r="E563" s="4"/>
    </row>
    <row r="564" spans="1:5" x14ac:dyDescent="0.2">
      <c r="A564" s="281" t="s">
        <v>1925</v>
      </c>
      <c r="B564" s="281">
        <v>1</v>
      </c>
      <c r="C564" s="281"/>
      <c r="D564" s="288" t="s">
        <v>1926</v>
      </c>
    </row>
    <row r="565" spans="1:5" x14ac:dyDescent="0.2">
      <c r="A565" s="281" t="s">
        <v>1925</v>
      </c>
      <c r="B565" s="281">
        <v>2</v>
      </c>
      <c r="C565" s="281"/>
      <c r="D565" s="281" t="s">
        <v>1927</v>
      </c>
    </row>
    <row r="566" spans="1:5" x14ac:dyDescent="0.2">
      <c r="A566" s="281" t="s">
        <v>1925</v>
      </c>
      <c r="B566" s="281">
        <v>3</v>
      </c>
      <c r="C566" s="281"/>
      <c r="D566" s="288" t="s">
        <v>1049</v>
      </c>
    </row>
    <row r="567" spans="1:5" x14ac:dyDescent="0.2">
      <c r="A567" s="281" t="s">
        <v>1925</v>
      </c>
      <c r="B567" s="281">
        <v>4</v>
      </c>
      <c r="C567" s="281"/>
      <c r="D567" s="288" t="s">
        <v>1051</v>
      </c>
    </row>
    <row r="568" spans="1:5" x14ac:dyDescent="0.2">
      <c r="A568" s="281" t="s">
        <v>1925</v>
      </c>
      <c r="B568" s="281">
        <v>5</v>
      </c>
      <c r="C568" s="281"/>
      <c r="D568" s="288" t="s">
        <v>1053</v>
      </c>
    </row>
    <row r="569" spans="1:5" x14ac:dyDescent="0.2">
      <c r="D569" s="11"/>
    </row>
    <row r="570" spans="1:5" x14ac:dyDescent="0.2">
      <c r="A570" s="281" t="s">
        <v>1928</v>
      </c>
      <c r="B570" s="281">
        <v>1</v>
      </c>
      <c r="C570" s="281"/>
      <c r="D570" s="281" t="s">
        <v>1929</v>
      </c>
    </row>
    <row r="571" spans="1:5" x14ac:dyDescent="0.2">
      <c r="A571" s="281" t="s">
        <v>1928</v>
      </c>
      <c r="B571" s="281">
        <v>2</v>
      </c>
      <c r="C571" s="281"/>
      <c r="D571" s="281" t="s">
        <v>1930</v>
      </c>
    </row>
    <row r="572" spans="1:5" x14ac:dyDescent="0.2">
      <c r="A572" s="281" t="s">
        <v>1928</v>
      </c>
      <c r="B572" s="281">
        <v>3</v>
      </c>
      <c r="C572" s="281"/>
      <c r="D572" s="281" t="s">
        <v>1931</v>
      </c>
    </row>
    <row r="573" spans="1:5" x14ac:dyDescent="0.2">
      <c r="A573" s="281" t="s">
        <v>1928</v>
      </c>
      <c r="B573" s="281">
        <v>4</v>
      </c>
      <c r="C573" s="281"/>
      <c r="D573" s="281" t="s">
        <v>1932</v>
      </c>
    </row>
    <row r="574" spans="1:5" x14ac:dyDescent="0.2">
      <c r="A574" s="281" t="s">
        <v>1928</v>
      </c>
      <c r="B574" s="281">
        <v>5</v>
      </c>
      <c r="C574" s="281"/>
      <c r="D574" s="281" t="s">
        <v>309</v>
      </c>
    </row>
    <row r="575" spans="1:5" x14ac:dyDescent="0.2">
      <c r="A575" s="281" t="s">
        <v>1928</v>
      </c>
      <c r="B575" s="281">
        <v>6</v>
      </c>
      <c r="C575" s="281"/>
      <c r="D575" s="288" t="s">
        <v>1933</v>
      </c>
    </row>
    <row r="576" spans="1:5" x14ac:dyDescent="0.2">
      <c r="A576" s="281" t="s">
        <v>1928</v>
      </c>
      <c r="B576" s="281">
        <v>7</v>
      </c>
      <c r="C576" s="281"/>
      <c r="D576" s="288" t="s">
        <v>1934</v>
      </c>
    </row>
    <row r="577" spans="1:6" x14ac:dyDescent="0.2">
      <c r="D577" s="11"/>
    </row>
    <row r="578" spans="1:6" ht="16" customHeight="1" x14ac:dyDescent="0.2">
      <c r="A578" s="281" t="s">
        <v>1935</v>
      </c>
      <c r="B578" s="288">
        <v>1</v>
      </c>
      <c r="C578" s="281"/>
      <c r="D578" s="293" t="s">
        <v>1936</v>
      </c>
      <c r="E578" s="7"/>
      <c r="F578" s="11"/>
    </row>
    <row r="579" spans="1:6" ht="16" customHeight="1" x14ac:dyDescent="0.2">
      <c r="A579" s="281" t="s">
        <v>1935</v>
      </c>
      <c r="B579" s="288">
        <v>2</v>
      </c>
      <c r="C579" s="281"/>
      <c r="D579" s="293" t="s">
        <v>1937</v>
      </c>
    </row>
    <row r="580" spans="1:6" ht="16" customHeight="1" x14ac:dyDescent="0.2">
      <c r="A580" s="281" t="s">
        <v>1935</v>
      </c>
      <c r="B580" s="288">
        <v>3</v>
      </c>
      <c r="C580" s="281"/>
      <c r="D580" s="293" t="s">
        <v>1938</v>
      </c>
    </row>
    <row r="581" spans="1:6" ht="16" customHeight="1" x14ac:dyDescent="0.2">
      <c r="A581" s="281" t="s">
        <v>1935</v>
      </c>
      <c r="B581" s="288">
        <v>4</v>
      </c>
      <c r="C581" s="281"/>
      <c r="D581" s="293" t="s">
        <v>1939</v>
      </c>
    </row>
    <row r="583" spans="1:6" ht="16" customHeight="1" x14ac:dyDescent="0.2">
      <c r="A583" s="281" t="s">
        <v>1940</v>
      </c>
      <c r="B583" s="288">
        <v>1</v>
      </c>
      <c r="C583" s="281"/>
      <c r="D583" s="293" t="s">
        <v>1941</v>
      </c>
    </row>
    <row r="584" spans="1:6" ht="16" customHeight="1" x14ac:dyDescent="0.2">
      <c r="A584" s="281" t="s">
        <v>1940</v>
      </c>
      <c r="B584" s="288">
        <v>2</v>
      </c>
      <c r="C584" s="281"/>
      <c r="D584" s="293" t="s">
        <v>1942</v>
      </c>
    </row>
    <row r="585" spans="1:6" ht="16" customHeight="1" x14ac:dyDescent="0.2">
      <c r="A585" s="281" t="s">
        <v>1940</v>
      </c>
      <c r="B585" s="288">
        <v>3</v>
      </c>
      <c r="C585" s="281"/>
      <c r="D585" s="293" t="s">
        <v>1943</v>
      </c>
    </row>
    <row r="586" spans="1:6" ht="16" customHeight="1" x14ac:dyDescent="0.2">
      <c r="A586" s="281" t="s">
        <v>1940</v>
      </c>
      <c r="B586" s="288">
        <v>4</v>
      </c>
      <c r="C586" s="281"/>
      <c r="D586" s="293" t="s">
        <v>1944</v>
      </c>
    </row>
    <row r="587" spans="1:6" ht="16" customHeight="1" x14ac:dyDescent="0.2">
      <c r="A587" s="281" t="s">
        <v>1940</v>
      </c>
      <c r="B587" s="288">
        <v>5</v>
      </c>
      <c r="C587" s="281"/>
      <c r="D587" s="293" t="s">
        <v>1945</v>
      </c>
    </row>
    <row r="588" spans="1:6" ht="16" customHeight="1" x14ac:dyDescent="0.2">
      <c r="A588" s="281" t="s">
        <v>1940</v>
      </c>
      <c r="B588" s="288">
        <v>6</v>
      </c>
      <c r="C588" s="281"/>
      <c r="D588" s="293" t="s">
        <v>1946</v>
      </c>
    </row>
    <row r="589" spans="1:6" ht="16" customHeight="1" x14ac:dyDescent="0.2">
      <c r="A589" s="281" t="s">
        <v>1940</v>
      </c>
      <c r="B589" s="288">
        <v>7</v>
      </c>
      <c r="C589" s="281"/>
      <c r="D589" s="293" t="s">
        <v>1947</v>
      </c>
    </row>
    <row r="590" spans="1:6" ht="16" customHeight="1" x14ac:dyDescent="0.2">
      <c r="A590" s="281" t="s">
        <v>1940</v>
      </c>
      <c r="B590" s="288">
        <v>8</v>
      </c>
      <c r="C590" s="281"/>
      <c r="D590" s="293" t="s">
        <v>1948</v>
      </c>
    </row>
    <row r="591" spans="1:6" ht="16" customHeight="1" x14ac:dyDescent="0.2">
      <c r="A591" s="281" t="s">
        <v>1940</v>
      </c>
      <c r="B591" s="288">
        <v>9</v>
      </c>
      <c r="C591" s="281"/>
      <c r="D591" s="293" t="s">
        <v>1949</v>
      </c>
    </row>
    <row r="593" spans="1:4" ht="16" customHeight="1" x14ac:dyDescent="0.2">
      <c r="A593" s="288" t="s">
        <v>1950</v>
      </c>
      <c r="B593" s="288">
        <v>1</v>
      </c>
      <c r="C593" s="293" t="s">
        <v>1951</v>
      </c>
      <c r="D593" s="293" t="s">
        <v>1952</v>
      </c>
    </row>
    <row r="594" spans="1:4" ht="16" customHeight="1" x14ac:dyDescent="0.2">
      <c r="A594" s="288" t="s">
        <v>1950</v>
      </c>
      <c r="B594" s="288">
        <v>2</v>
      </c>
      <c r="C594" s="293" t="s">
        <v>1953</v>
      </c>
      <c r="D594" s="293" t="s">
        <v>1954</v>
      </c>
    </row>
    <row r="595" spans="1:4" ht="16" customHeight="1" x14ac:dyDescent="0.2">
      <c r="A595" s="288" t="s">
        <v>1950</v>
      </c>
      <c r="B595" s="288">
        <v>3</v>
      </c>
      <c r="C595" s="293" t="s">
        <v>1955</v>
      </c>
      <c r="D595" s="293" t="s">
        <v>1956</v>
      </c>
    </row>
    <row r="596" spans="1:4" ht="16" customHeight="1" x14ac:dyDescent="0.2">
      <c r="A596" s="288" t="s">
        <v>1950</v>
      </c>
      <c r="B596" s="288">
        <v>4</v>
      </c>
      <c r="C596" s="293" t="s">
        <v>308</v>
      </c>
      <c r="D596" s="293" t="s">
        <v>309</v>
      </c>
    </row>
    <row r="597" spans="1:4" ht="16" customHeight="1" x14ac:dyDescent="0.2">
      <c r="A597" s="288" t="s">
        <v>1950</v>
      </c>
      <c r="B597" s="288">
        <v>5</v>
      </c>
      <c r="C597" s="281" t="s">
        <v>1050</v>
      </c>
      <c r="D597" s="293" t="s">
        <v>1933</v>
      </c>
    </row>
    <row r="598" spans="1:4" ht="16" customHeight="1" x14ac:dyDescent="0.2">
      <c r="A598" s="288" t="s">
        <v>1950</v>
      </c>
      <c r="B598" s="288">
        <v>6</v>
      </c>
      <c r="C598" s="281" t="s">
        <v>1052</v>
      </c>
      <c r="D598" s="293" t="s">
        <v>1934</v>
      </c>
    </row>
    <row r="600" spans="1:4" x14ac:dyDescent="0.2">
      <c r="A600" s="281" t="s">
        <v>1957</v>
      </c>
      <c r="B600" s="281">
        <v>1</v>
      </c>
      <c r="C600" s="281"/>
      <c r="D600" s="281" t="s">
        <v>1958</v>
      </c>
    </row>
    <row r="601" spans="1:4" x14ac:dyDescent="0.2">
      <c r="A601" s="281" t="s">
        <v>1957</v>
      </c>
      <c r="B601" s="281">
        <v>2</v>
      </c>
      <c r="C601" s="281"/>
      <c r="D601" s="281" t="s">
        <v>1959</v>
      </c>
    </row>
    <row r="602" spans="1:4" x14ac:dyDescent="0.2">
      <c r="A602" s="281" t="s">
        <v>1957</v>
      </c>
      <c r="B602" s="281">
        <v>3</v>
      </c>
      <c r="C602" s="281"/>
      <c r="D602" s="281" t="s">
        <v>1960</v>
      </c>
    </row>
    <row r="603" spans="1:4" x14ac:dyDescent="0.2">
      <c r="A603" s="281" t="s">
        <v>1957</v>
      </c>
      <c r="B603" s="281">
        <v>4</v>
      </c>
      <c r="C603" s="281"/>
      <c r="D603" s="281" t="s">
        <v>309</v>
      </c>
    </row>
    <row r="604" spans="1:4" x14ac:dyDescent="0.2">
      <c r="A604" s="281" t="s">
        <v>1957</v>
      </c>
      <c r="B604" s="281">
        <v>5</v>
      </c>
      <c r="C604" s="281"/>
      <c r="D604" s="281" t="s">
        <v>1933</v>
      </c>
    </row>
    <row r="605" spans="1:4" x14ac:dyDescent="0.2">
      <c r="A605" s="281" t="s">
        <v>1957</v>
      </c>
      <c r="B605" s="281">
        <v>6</v>
      </c>
      <c r="C605" s="281"/>
      <c r="D605" s="281" t="s">
        <v>1961</v>
      </c>
    </row>
    <row r="607" spans="1:4" x14ac:dyDescent="0.2">
      <c r="A607" s="284" t="s">
        <v>1962</v>
      </c>
      <c r="B607" s="281">
        <v>1</v>
      </c>
      <c r="C607" s="281"/>
      <c r="D607" s="281" t="s">
        <v>1963</v>
      </c>
    </row>
    <row r="608" spans="1:4" x14ac:dyDescent="0.2">
      <c r="A608" s="284" t="s">
        <v>1962</v>
      </c>
      <c r="B608" s="281">
        <v>2</v>
      </c>
      <c r="C608" s="281"/>
      <c r="D608" s="281" t="s">
        <v>1964</v>
      </c>
    </row>
    <row r="609" spans="1:4" x14ac:dyDescent="0.2">
      <c r="A609" s="284" t="s">
        <v>1962</v>
      </c>
      <c r="B609" s="281">
        <v>3</v>
      </c>
      <c r="C609" s="281"/>
      <c r="D609" s="281" t="s">
        <v>1965</v>
      </c>
    </row>
    <row r="610" spans="1:4" x14ac:dyDescent="0.2">
      <c r="A610" s="284" t="s">
        <v>1962</v>
      </c>
      <c r="B610" s="281">
        <v>4</v>
      </c>
      <c r="C610" s="281"/>
      <c r="D610" s="281" t="s">
        <v>309</v>
      </c>
    </row>
    <row r="611" spans="1:4" x14ac:dyDescent="0.2">
      <c r="A611" s="284" t="s">
        <v>1962</v>
      </c>
      <c r="B611" s="281">
        <v>5</v>
      </c>
      <c r="C611" s="281"/>
      <c r="D611" s="281" t="s">
        <v>1933</v>
      </c>
    </row>
    <row r="612" spans="1:4" x14ac:dyDescent="0.2">
      <c r="A612" s="284" t="s">
        <v>1962</v>
      </c>
      <c r="B612" s="281">
        <v>6</v>
      </c>
      <c r="C612" s="281"/>
      <c r="D612" s="281" t="s">
        <v>1961</v>
      </c>
    </row>
    <row r="614" spans="1:4" x14ac:dyDescent="0.2">
      <c r="A614" s="281" t="s">
        <v>1966</v>
      </c>
      <c r="B614" s="281">
        <v>1</v>
      </c>
      <c r="C614" s="281"/>
      <c r="D614" s="281" t="s">
        <v>1967</v>
      </c>
    </row>
    <row r="615" spans="1:4" x14ac:dyDescent="0.2">
      <c r="A615" s="281" t="s">
        <v>1966</v>
      </c>
      <c r="B615" s="281">
        <v>2</v>
      </c>
      <c r="C615" s="281"/>
      <c r="D615" s="281" t="s">
        <v>1968</v>
      </c>
    </row>
    <row r="616" spans="1:4" x14ac:dyDescent="0.2">
      <c r="A616" s="281" t="s">
        <v>1966</v>
      </c>
      <c r="B616" s="281">
        <v>3</v>
      </c>
      <c r="C616" s="281"/>
      <c r="D616" s="281" t="s">
        <v>1969</v>
      </c>
    </row>
    <row r="617" spans="1:4" x14ac:dyDescent="0.2">
      <c r="A617" s="281" t="s">
        <v>1966</v>
      </c>
      <c r="B617" s="281">
        <v>4</v>
      </c>
      <c r="C617" s="281"/>
      <c r="D617" s="281" t="s">
        <v>1970</v>
      </c>
    </row>
    <row r="618" spans="1:4" x14ac:dyDescent="0.2">
      <c r="A618" s="281" t="s">
        <v>1966</v>
      </c>
      <c r="B618" s="281">
        <v>5</v>
      </c>
      <c r="C618" s="281"/>
      <c r="D618" s="281" t="s">
        <v>1971</v>
      </c>
    </row>
    <row r="619" spans="1:4" x14ac:dyDescent="0.2">
      <c r="A619" s="281" t="s">
        <v>1966</v>
      </c>
      <c r="B619" s="281">
        <v>6</v>
      </c>
      <c r="C619" s="281"/>
      <c r="D619" s="281" t="s">
        <v>1972</v>
      </c>
    </row>
    <row r="620" spans="1:4" x14ac:dyDescent="0.2">
      <c r="A620" s="281" t="s">
        <v>1966</v>
      </c>
      <c r="B620" s="281">
        <v>7</v>
      </c>
      <c r="C620" s="281"/>
      <c r="D620" s="281" t="s">
        <v>1973</v>
      </c>
    </row>
    <row r="621" spans="1:4" x14ac:dyDescent="0.2">
      <c r="A621" s="281" t="s">
        <v>1966</v>
      </c>
      <c r="B621" s="281">
        <v>8</v>
      </c>
      <c r="C621" s="281"/>
      <c r="D621" s="281" t="s">
        <v>1974</v>
      </c>
    </row>
    <row r="622" spans="1:4" x14ac:dyDescent="0.2">
      <c r="A622" s="281" t="s">
        <v>1966</v>
      </c>
      <c r="B622" s="281">
        <v>9</v>
      </c>
      <c r="C622" s="281"/>
      <c r="D622" s="281" t="s">
        <v>309</v>
      </c>
    </row>
    <row r="623" spans="1:4" x14ac:dyDescent="0.2">
      <c r="A623" s="281" t="s">
        <v>1966</v>
      </c>
      <c r="B623" s="281">
        <v>10</v>
      </c>
      <c r="C623" s="281"/>
      <c r="D623" s="281" t="s">
        <v>1933</v>
      </c>
    </row>
    <row r="624" spans="1:4" x14ac:dyDescent="0.2">
      <c r="A624" s="281" t="s">
        <v>1966</v>
      </c>
      <c r="B624" s="281">
        <v>11</v>
      </c>
      <c r="C624" s="281"/>
      <c r="D624" s="281" t="s">
        <v>1961</v>
      </c>
    </row>
    <row r="626" spans="1:4" x14ac:dyDescent="0.2">
      <c r="A626" s="281" t="s">
        <v>1975</v>
      </c>
      <c r="B626" s="281">
        <v>1</v>
      </c>
      <c r="C626" s="281"/>
      <c r="D626" s="281" t="s">
        <v>1976</v>
      </c>
    </row>
    <row r="627" spans="1:4" x14ac:dyDescent="0.2">
      <c r="A627" s="281" t="s">
        <v>1975</v>
      </c>
      <c r="B627" s="281">
        <v>2</v>
      </c>
      <c r="C627" s="281"/>
      <c r="D627" s="281" t="s">
        <v>1977</v>
      </c>
    </row>
    <row r="628" spans="1:4" x14ac:dyDescent="0.2">
      <c r="A628" s="281" t="s">
        <v>1975</v>
      </c>
      <c r="B628" s="281">
        <v>3</v>
      </c>
      <c r="C628" s="281"/>
      <c r="D628" s="281" t="s">
        <v>1978</v>
      </c>
    </row>
    <row r="629" spans="1:4" x14ac:dyDescent="0.2">
      <c r="A629" s="281" t="s">
        <v>1975</v>
      </c>
      <c r="B629" s="281">
        <v>4</v>
      </c>
      <c r="C629" s="281"/>
      <c r="D629" s="281" t="s">
        <v>1979</v>
      </c>
    </row>
    <row r="630" spans="1:4" x14ac:dyDescent="0.2">
      <c r="A630" s="281" t="s">
        <v>1975</v>
      </c>
      <c r="B630" s="281">
        <v>5</v>
      </c>
      <c r="C630" s="281"/>
      <c r="D630" s="281" t="s">
        <v>1980</v>
      </c>
    </row>
    <row r="631" spans="1:4" x14ac:dyDescent="0.2">
      <c r="A631" s="281" t="s">
        <v>1975</v>
      </c>
      <c r="B631" s="281">
        <v>6</v>
      </c>
      <c r="C631" s="281"/>
      <c r="D631" s="281" t="s">
        <v>1981</v>
      </c>
    </row>
    <row r="632" spans="1:4" x14ac:dyDescent="0.2">
      <c r="A632" s="281" t="s">
        <v>1975</v>
      </c>
      <c r="B632" s="281">
        <v>7</v>
      </c>
      <c r="C632" s="281"/>
      <c r="D632" s="281" t="s">
        <v>1982</v>
      </c>
    </row>
    <row r="633" spans="1:4" x14ac:dyDescent="0.2">
      <c r="A633" s="281" t="s">
        <v>1975</v>
      </c>
      <c r="B633" s="281">
        <v>8</v>
      </c>
      <c r="C633" s="281"/>
      <c r="D633" s="281" t="s">
        <v>1983</v>
      </c>
    </row>
    <row r="634" spans="1:4" x14ac:dyDescent="0.2">
      <c r="A634" s="281" t="s">
        <v>1975</v>
      </c>
      <c r="B634" s="281">
        <v>9</v>
      </c>
      <c r="C634" s="281"/>
      <c r="D634" s="281" t="s">
        <v>309</v>
      </c>
    </row>
    <row r="635" spans="1:4" x14ac:dyDescent="0.2">
      <c r="A635" s="281" t="s">
        <v>1975</v>
      </c>
      <c r="B635" s="281">
        <v>10</v>
      </c>
      <c r="C635" s="281"/>
      <c r="D635" s="281" t="s">
        <v>1933</v>
      </c>
    </row>
    <row r="636" spans="1:4" x14ac:dyDescent="0.2">
      <c r="A636" s="281" t="s">
        <v>1975</v>
      </c>
      <c r="B636" s="281">
        <v>11</v>
      </c>
      <c r="C636" s="281"/>
      <c r="D636" s="281" t="s">
        <v>1961</v>
      </c>
    </row>
    <row r="638" spans="1:4" x14ac:dyDescent="0.2">
      <c r="A638" s="281" t="s">
        <v>1984</v>
      </c>
      <c r="B638" s="281">
        <v>1</v>
      </c>
      <c r="C638" s="281"/>
      <c r="D638" s="281" t="s">
        <v>1985</v>
      </c>
    </row>
    <row r="639" spans="1:4" x14ac:dyDescent="0.2">
      <c r="A639" s="281" t="s">
        <v>1984</v>
      </c>
      <c r="B639" s="281">
        <v>2</v>
      </c>
      <c r="C639" s="281"/>
      <c r="D639" s="281" t="s">
        <v>1986</v>
      </c>
    </row>
    <row r="640" spans="1:4" x14ac:dyDescent="0.2">
      <c r="A640" s="281" t="s">
        <v>1984</v>
      </c>
      <c r="B640" s="281">
        <v>3</v>
      </c>
      <c r="C640" s="281"/>
      <c r="D640" s="281" t="s">
        <v>1987</v>
      </c>
    </row>
    <row r="641" spans="1:4" x14ac:dyDescent="0.2">
      <c r="A641" s="281" t="s">
        <v>1984</v>
      </c>
      <c r="B641" s="281">
        <v>4</v>
      </c>
      <c r="C641" s="281"/>
      <c r="D641" s="281" t="s">
        <v>1988</v>
      </c>
    </row>
    <row r="642" spans="1:4" x14ac:dyDescent="0.2">
      <c r="A642" s="281" t="s">
        <v>1984</v>
      </c>
      <c r="B642" s="281">
        <v>5</v>
      </c>
      <c r="C642" s="281"/>
      <c r="D642" s="281" t="s">
        <v>1989</v>
      </c>
    </row>
    <row r="643" spans="1:4" x14ac:dyDescent="0.2">
      <c r="A643" s="281" t="s">
        <v>1984</v>
      </c>
      <c r="B643" s="281">
        <v>6</v>
      </c>
      <c r="C643" s="281"/>
      <c r="D643" s="281" t="s">
        <v>1990</v>
      </c>
    </row>
    <row r="644" spans="1:4" x14ac:dyDescent="0.2">
      <c r="A644" s="281" t="s">
        <v>1984</v>
      </c>
      <c r="B644" s="281">
        <v>7</v>
      </c>
      <c r="C644" s="281"/>
      <c r="D644" s="281" t="s">
        <v>1991</v>
      </c>
    </row>
    <row r="645" spans="1:4" x14ac:dyDescent="0.2">
      <c r="A645" s="281" t="s">
        <v>1984</v>
      </c>
      <c r="B645" s="281">
        <v>8</v>
      </c>
      <c r="C645" s="281"/>
      <c r="D645" s="281" t="s">
        <v>1992</v>
      </c>
    </row>
    <row r="646" spans="1:4" x14ac:dyDescent="0.2">
      <c r="A646" s="281" t="s">
        <v>1984</v>
      </c>
      <c r="B646" s="281">
        <v>9</v>
      </c>
      <c r="C646" s="281"/>
      <c r="D646" s="281" t="s">
        <v>309</v>
      </c>
    </row>
    <row r="647" spans="1:4" x14ac:dyDescent="0.2">
      <c r="A647" s="281" t="s">
        <v>1984</v>
      </c>
      <c r="B647" s="281">
        <v>10</v>
      </c>
      <c r="C647" s="281"/>
      <c r="D647" s="281" t="s">
        <v>1933</v>
      </c>
    </row>
    <row r="648" spans="1:4" x14ac:dyDescent="0.2">
      <c r="A648" s="281" t="s">
        <v>1984</v>
      </c>
      <c r="B648" s="281">
        <v>11</v>
      </c>
      <c r="C648" s="281"/>
      <c r="D648" s="281" t="s">
        <v>1961</v>
      </c>
    </row>
    <row r="650" spans="1:4" x14ac:dyDescent="0.2">
      <c r="A650" s="287" t="s">
        <v>1993</v>
      </c>
      <c r="B650" s="281">
        <v>1</v>
      </c>
      <c r="C650" s="281"/>
      <c r="D650" s="288" t="s">
        <v>1994</v>
      </c>
    </row>
    <row r="651" spans="1:4" x14ac:dyDescent="0.2">
      <c r="A651" s="287" t="s">
        <v>1993</v>
      </c>
      <c r="B651" s="281">
        <v>2</v>
      </c>
      <c r="C651" s="281"/>
      <c r="D651" s="288" t="s">
        <v>1995</v>
      </c>
    </row>
    <row r="652" spans="1:4" x14ac:dyDescent="0.2">
      <c r="A652" s="287" t="s">
        <v>1993</v>
      </c>
      <c r="B652" s="281">
        <v>3</v>
      </c>
      <c r="C652" s="281"/>
      <c r="D652" s="288" t="s">
        <v>1996</v>
      </c>
    </row>
    <row r="653" spans="1:4" x14ac:dyDescent="0.2">
      <c r="A653" s="287" t="s">
        <v>1993</v>
      </c>
      <c r="B653" s="281">
        <v>4</v>
      </c>
      <c r="C653" s="281"/>
      <c r="D653" s="288" t="s">
        <v>1997</v>
      </c>
    </row>
    <row r="654" spans="1:4" x14ac:dyDescent="0.2">
      <c r="A654" s="287" t="s">
        <v>1993</v>
      </c>
      <c r="B654" s="281">
        <v>5</v>
      </c>
      <c r="C654" s="281"/>
      <c r="D654" s="288" t="s">
        <v>1960</v>
      </c>
    </row>
    <row r="655" spans="1:4" x14ac:dyDescent="0.2">
      <c r="A655" s="287" t="s">
        <v>1993</v>
      </c>
      <c r="B655" s="281">
        <v>6</v>
      </c>
      <c r="C655" s="281"/>
      <c r="D655" s="288" t="s">
        <v>1998</v>
      </c>
    </row>
    <row r="656" spans="1:4" x14ac:dyDescent="0.2">
      <c r="A656" s="287" t="s">
        <v>1993</v>
      </c>
      <c r="B656" s="281">
        <v>7</v>
      </c>
      <c r="C656" s="281"/>
      <c r="D656" s="288" t="s">
        <v>309</v>
      </c>
    </row>
    <row r="657" spans="1:4" x14ac:dyDescent="0.2">
      <c r="A657" s="287" t="s">
        <v>1993</v>
      </c>
      <c r="B657" s="281">
        <v>8</v>
      </c>
      <c r="C657" s="281"/>
      <c r="D657" s="288" t="s">
        <v>1933</v>
      </c>
    </row>
    <row r="658" spans="1:4" x14ac:dyDescent="0.2">
      <c r="A658" s="287" t="s">
        <v>1993</v>
      </c>
      <c r="B658" s="281">
        <v>9</v>
      </c>
      <c r="C658" s="281"/>
      <c r="D658" s="288" t="s">
        <v>1961</v>
      </c>
    </row>
    <row r="660" spans="1:4" x14ac:dyDescent="0.2">
      <c r="A660" s="288" t="s">
        <v>1999</v>
      </c>
      <c r="B660" s="281">
        <v>1</v>
      </c>
      <c r="C660" s="306"/>
      <c r="D660" s="281" t="s">
        <v>2000</v>
      </c>
    </row>
    <row r="661" spans="1:4" x14ac:dyDescent="0.2">
      <c r="A661" s="288" t="s">
        <v>1999</v>
      </c>
      <c r="B661" s="281">
        <v>2</v>
      </c>
      <c r="C661" s="306"/>
      <c r="D661" s="281" t="s">
        <v>2001</v>
      </c>
    </row>
    <row r="662" spans="1:4" x14ac:dyDescent="0.2">
      <c r="A662" s="288" t="s">
        <v>1999</v>
      </c>
      <c r="B662" s="281">
        <v>3</v>
      </c>
      <c r="C662" s="306"/>
      <c r="D662" s="281" t="s">
        <v>2002</v>
      </c>
    </row>
    <row r="663" spans="1:4" x14ac:dyDescent="0.2">
      <c r="A663" s="288" t="s">
        <v>1999</v>
      </c>
      <c r="B663" s="281">
        <v>4</v>
      </c>
      <c r="C663" s="306"/>
      <c r="D663" s="281" t="s">
        <v>2003</v>
      </c>
    </row>
    <row r="664" spans="1:4" x14ac:dyDescent="0.2">
      <c r="A664" s="288" t="s">
        <v>1999</v>
      </c>
      <c r="B664" s="281">
        <v>5</v>
      </c>
      <c r="C664" s="306"/>
      <c r="D664" s="281" t="s">
        <v>2004</v>
      </c>
    </row>
    <row r="665" spans="1:4" x14ac:dyDescent="0.2">
      <c r="A665" s="288" t="s">
        <v>1999</v>
      </c>
      <c r="B665" s="281">
        <v>6</v>
      </c>
      <c r="C665" s="306"/>
      <c r="D665" s="281" t="s">
        <v>2005</v>
      </c>
    </row>
    <row r="666" spans="1:4" x14ac:dyDescent="0.2">
      <c r="A666" s="288" t="s">
        <v>1999</v>
      </c>
      <c r="B666" s="281">
        <v>7</v>
      </c>
      <c r="C666" s="306"/>
      <c r="D666" s="281" t="s">
        <v>2006</v>
      </c>
    </row>
    <row r="667" spans="1:4" x14ac:dyDescent="0.2">
      <c r="A667" s="288" t="s">
        <v>1999</v>
      </c>
      <c r="B667" s="281">
        <v>8</v>
      </c>
      <c r="C667" s="306"/>
      <c r="D667" s="281" t="s">
        <v>1933</v>
      </c>
    </row>
    <row r="668" spans="1:4" x14ac:dyDescent="0.2">
      <c r="A668" s="288" t="s">
        <v>1999</v>
      </c>
      <c r="B668" s="281">
        <v>9</v>
      </c>
      <c r="C668" s="306"/>
      <c r="D668" s="281" t="s">
        <v>1934</v>
      </c>
    </row>
    <row r="670" spans="1:4" x14ac:dyDescent="0.2">
      <c r="A670" s="281" t="s">
        <v>2007</v>
      </c>
      <c r="B670" s="281">
        <v>1</v>
      </c>
      <c r="C670" s="281"/>
      <c r="D670" s="288" t="s">
        <v>2008</v>
      </c>
    </row>
    <row r="671" spans="1:4" x14ac:dyDescent="0.2">
      <c r="A671" s="281" t="s">
        <v>2007</v>
      </c>
      <c r="B671" s="281">
        <v>2</v>
      </c>
      <c r="C671" s="281"/>
      <c r="D671" s="288" t="s">
        <v>2009</v>
      </c>
    </row>
    <row r="672" spans="1:4" x14ac:dyDescent="0.2">
      <c r="A672" s="281" t="s">
        <v>2007</v>
      </c>
      <c r="B672" s="281">
        <v>3</v>
      </c>
      <c r="C672" s="281"/>
      <c r="D672" s="288" t="s">
        <v>2010</v>
      </c>
    </row>
    <row r="673" spans="1:4" x14ac:dyDescent="0.2">
      <c r="A673" s="281" t="s">
        <v>2007</v>
      </c>
      <c r="B673" s="281">
        <v>4</v>
      </c>
      <c r="C673" s="281"/>
      <c r="D673" s="288" t="s">
        <v>2011</v>
      </c>
    </row>
    <row r="674" spans="1:4" x14ac:dyDescent="0.2">
      <c r="A674" s="281" t="s">
        <v>2007</v>
      </c>
      <c r="B674" s="281">
        <v>5</v>
      </c>
      <c r="C674" s="281"/>
      <c r="D674" s="288" t="s">
        <v>2012</v>
      </c>
    </row>
    <row r="675" spans="1:4" x14ac:dyDescent="0.2">
      <c r="A675" s="281" t="s">
        <v>2007</v>
      </c>
      <c r="B675" s="281">
        <v>6</v>
      </c>
      <c r="C675" s="281"/>
      <c r="D675" s="288" t="s">
        <v>309</v>
      </c>
    </row>
    <row r="676" spans="1:4" x14ac:dyDescent="0.2">
      <c r="A676" s="281" t="s">
        <v>2007</v>
      </c>
      <c r="B676" s="281">
        <v>7</v>
      </c>
      <c r="C676" s="281"/>
      <c r="D676" s="288" t="s">
        <v>1933</v>
      </c>
    </row>
    <row r="677" spans="1:4" x14ac:dyDescent="0.2">
      <c r="A677" s="281" t="s">
        <v>2007</v>
      </c>
      <c r="B677" s="281">
        <v>8</v>
      </c>
      <c r="C677" s="281"/>
      <c r="D677" s="288" t="s">
        <v>1934</v>
      </c>
    </row>
    <row r="679" spans="1:4" x14ac:dyDescent="0.2">
      <c r="A679" s="281" t="s">
        <v>2013</v>
      </c>
      <c r="B679" s="281">
        <v>1</v>
      </c>
      <c r="C679" s="281"/>
      <c r="D679" s="281" t="s">
        <v>2014</v>
      </c>
    </row>
    <row r="680" spans="1:4" x14ac:dyDescent="0.2">
      <c r="A680" s="281" t="s">
        <v>2013</v>
      </c>
      <c r="B680" s="281">
        <v>2</v>
      </c>
      <c r="C680" s="281"/>
      <c r="D680" s="281" t="s">
        <v>2015</v>
      </c>
    </row>
    <row r="681" spans="1:4" x14ac:dyDescent="0.2">
      <c r="A681" s="281" t="s">
        <v>2013</v>
      </c>
      <c r="B681" s="281">
        <v>3</v>
      </c>
      <c r="C681" s="281"/>
      <c r="D681" s="281" t="s">
        <v>2016</v>
      </c>
    </row>
    <row r="682" spans="1:4" x14ac:dyDescent="0.2">
      <c r="A682" s="281" t="s">
        <v>2013</v>
      </c>
      <c r="B682" s="281">
        <v>4</v>
      </c>
      <c r="C682" s="281"/>
      <c r="D682" s="281" t="s">
        <v>309</v>
      </c>
    </row>
    <row r="683" spans="1:4" x14ac:dyDescent="0.2">
      <c r="A683" s="281" t="s">
        <v>2013</v>
      </c>
      <c r="B683" s="281">
        <v>5</v>
      </c>
      <c r="C683" s="281"/>
      <c r="D683" s="281" t="s">
        <v>1933</v>
      </c>
    </row>
    <row r="684" spans="1:4" x14ac:dyDescent="0.2">
      <c r="A684" s="281" t="s">
        <v>2013</v>
      </c>
      <c r="B684" s="281">
        <v>6</v>
      </c>
      <c r="C684" s="281"/>
      <c r="D684" s="281" t="s">
        <v>1934</v>
      </c>
    </row>
    <row r="686" spans="1:4" x14ac:dyDescent="0.2">
      <c r="A686" s="281" t="s">
        <v>2017</v>
      </c>
      <c r="B686" s="281">
        <v>1</v>
      </c>
      <c r="C686" s="281"/>
      <c r="D686" s="281" t="s">
        <v>1976</v>
      </c>
    </row>
    <row r="687" spans="1:4" x14ac:dyDescent="0.2">
      <c r="A687" s="281" t="s">
        <v>2017</v>
      </c>
      <c r="B687" s="281">
        <v>2</v>
      </c>
      <c r="C687" s="281"/>
      <c r="D687" s="281" t="s">
        <v>1977</v>
      </c>
    </row>
    <row r="688" spans="1:4" x14ac:dyDescent="0.2">
      <c r="A688" s="281" t="s">
        <v>2017</v>
      </c>
      <c r="B688" s="281">
        <v>3</v>
      </c>
      <c r="C688" s="281"/>
      <c r="D688" s="281" t="s">
        <v>1978</v>
      </c>
    </row>
    <row r="689" spans="1:4" x14ac:dyDescent="0.2">
      <c r="A689" s="281" t="s">
        <v>2017</v>
      </c>
      <c r="B689" s="281">
        <v>4</v>
      </c>
      <c r="C689" s="281"/>
      <c r="D689" s="281" t="s">
        <v>1979</v>
      </c>
    </row>
    <row r="690" spans="1:4" x14ac:dyDescent="0.2">
      <c r="A690" s="281" t="s">
        <v>2017</v>
      </c>
      <c r="B690" s="281">
        <v>5</v>
      </c>
      <c r="C690" s="281"/>
      <c r="D690" s="281" t="s">
        <v>2018</v>
      </c>
    </row>
    <row r="691" spans="1:4" x14ac:dyDescent="0.2">
      <c r="A691" s="281" t="s">
        <v>2017</v>
      </c>
      <c r="B691" s="281">
        <v>6</v>
      </c>
      <c r="C691" s="281"/>
      <c r="D691" s="281" t="s">
        <v>2019</v>
      </c>
    </row>
    <row r="692" spans="1:4" x14ac:dyDescent="0.2">
      <c r="A692" s="281" t="s">
        <v>2017</v>
      </c>
      <c r="B692" s="281">
        <v>7</v>
      </c>
      <c r="C692" s="281"/>
      <c r="D692" s="281" t="s">
        <v>2020</v>
      </c>
    </row>
    <row r="693" spans="1:4" x14ac:dyDescent="0.2">
      <c r="A693" s="281" t="s">
        <v>2017</v>
      </c>
      <c r="B693" s="281">
        <v>8</v>
      </c>
      <c r="C693" s="281"/>
      <c r="D693" s="281" t="s">
        <v>2021</v>
      </c>
    </row>
    <row r="694" spans="1:4" x14ac:dyDescent="0.2">
      <c r="A694" s="281" t="s">
        <v>2017</v>
      </c>
      <c r="B694" s="281">
        <v>9</v>
      </c>
      <c r="C694" s="281"/>
      <c r="D694" s="281" t="s">
        <v>309</v>
      </c>
    </row>
    <row r="695" spans="1:4" x14ac:dyDescent="0.2">
      <c r="A695" s="281" t="s">
        <v>2017</v>
      </c>
      <c r="B695" s="281">
        <v>10</v>
      </c>
      <c r="C695" s="281"/>
      <c r="D695" s="281" t="s">
        <v>1933</v>
      </c>
    </row>
    <row r="696" spans="1:4" x14ac:dyDescent="0.2">
      <c r="A696" s="281" t="s">
        <v>2017</v>
      </c>
      <c r="B696" s="281">
        <v>11</v>
      </c>
      <c r="C696" s="281"/>
      <c r="D696" s="281" t="s">
        <v>1961</v>
      </c>
    </row>
    <row r="698" spans="1:4" ht="16" customHeight="1" x14ac:dyDescent="0.2">
      <c r="A698" s="281" t="s">
        <v>2022</v>
      </c>
      <c r="B698" s="288">
        <v>1</v>
      </c>
      <c r="C698" s="281" t="s">
        <v>2023</v>
      </c>
      <c r="D698" s="293" t="s">
        <v>2024</v>
      </c>
    </row>
    <row r="699" spans="1:4" ht="16" customHeight="1" x14ac:dyDescent="0.2">
      <c r="A699" s="281" t="s">
        <v>2022</v>
      </c>
      <c r="B699" s="288">
        <v>2</v>
      </c>
      <c r="C699" s="281" t="s">
        <v>2025</v>
      </c>
      <c r="D699" s="293" t="s">
        <v>2026</v>
      </c>
    </row>
    <row r="700" spans="1:4" ht="16" customHeight="1" x14ac:dyDescent="0.2">
      <c r="A700" s="281" t="s">
        <v>2022</v>
      </c>
      <c r="B700" s="288">
        <v>3</v>
      </c>
      <c r="C700" s="281" t="s">
        <v>2027</v>
      </c>
      <c r="D700" s="293" t="s">
        <v>2028</v>
      </c>
    </row>
    <row r="701" spans="1:4" ht="16" customHeight="1" x14ac:dyDescent="0.2">
      <c r="A701" s="281" t="s">
        <v>2022</v>
      </c>
      <c r="B701" s="288">
        <v>4</v>
      </c>
      <c r="C701" s="281" t="s">
        <v>2029</v>
      </c>
      <c r="D701" s="293" t="s">
        <v>2030</v>
      </c>
    </row>
    <row r="702" spans="1:4" ht="16" customHeight="1" x14ac:dyDescent="0.2">
      <c r="A702" s="281" t="s">
        <v>2022</v>
      </c>
      <c r="B702" s="288">
        <v>5</v>
      </c>
      <c r="C702" s="281" t="s">
        <v>2031</v>
      </c>
      <c r="D702" s="293" t="s">
        <v>2032</v>
      </c>
    </row>
    <row r="703" spans="1:4" ht="16" customHeight="1" x14ac:dyDescent="0.2">
      <c r="A703" s="281" t="s">
        <v>2022</v>
      </c>
      <c r="B703" s="288">
        <v>6</v>
      </c>
      <c r="C703" s="281" t="s">
        <v>2033</v>
      </c>
      <c r="D703" s="293" t="s">
        <v>2034</v>
      </c>
    </row>
    <row r="704" spans="1:4" ht="16" customHeight="1" x14ac:dyDescent="0.2">
      <c r="A704" s="281" t="s">
        <v>2022</v>
      </c>
      <c r="B704" s="288">
        <v>7</v>
      </c>
      <c r="C704" s="281" t="s">
        <v>2035</v>
      </c>
      <c r="D704" s="293" t="s">
        <v>2036</v>
      </c>
    </row>
    <row r="705" spans="1:4" ht="16" customHeight="1" x14ac:dyDescent="0.2">
      <c r="A705" s="281" t="s">
        <v>2022</v>
      </c>
      <c r="B705" s="288">
        <v>8</v>
      </c>
      <c r="C705" s="281" t="s">
        <v>308</v>
      </c>
      <c r="D705" s="293" t="s">
        <v>309</v>
      </c>
    </row>
    <row r="707" spans="1:4" ht="16" customHeight="1" x14ac:dyDescent="0.2">
      <c r="A707" s="281" t="s">
        <v>2037</v>
      </c>
      <c r="B707" s="288">
        <v>1</v>
      </c>
      <c r="C707" s="281" t="s">
        <v>2038</v>
      </c>
      <c r="D707" s="293" t="s">
        <v>2039</v>
      </c>
    </row>
    <row r="708" spans="1:4" ht="16" customHeight="1" x14ac:dyDescent="0.2">
      <c r="A708" s="281" t="s">
        <v>2037</v>
      </c>
      <c r="B708" s="288">
        <v>2</v>
      </c>
      <c r="C708" s="281" t="s">
        <v>2040</v>
      </c>
      <c r="D708" s="293" t="s">
        <v>2041</v>
      </c>
    </row>
    <row r="709" spans="1:4" ht="16" customHeight="1" x14ac:dyDescent="0.2">
      <c r="A709" s="281" t="s">
        <v>2037</v>
      </c>
      <c r="B709" s="288">
        <v>3</v>
      </c>
      <c r="C709" s="281" t="s">
        <v>2042</v>
      </c>
      <c r="D709" s="293" t="s">
        <v>1933</v>
      </c>
    </row>
    <row r="710" spans="1:4" ht="16" customHeight="1" x14ac:dyDescent="0.2">
      <c r="A710" s="281" t="s">
        <v>2037</v>
      </c>
      <c r="B710" s="288">
        <v>4</v>
      </c>
      <c r="C710" s="281" t="s">
        <v>2043</v>
      </c>
      <c r="D710" s="293" t="s">
        <v>1934</v>
      </c>
    </row>
    <row r="712" spans="1:4" x14ac:dyDescent="0.2">
      <c r="A712" s="281" t="s">
        <v>2044</v>
      </c>
      <c r="B712" s="281">
        <v>1</v>
      </c>
      <c r="C712" s="281"/>
      <c r="D712" s="281" t="s">
        <v>1048</v>
      </c>
    </row>
    <row r="713" spans="1:4" x14ac:dyDescent="0.2">
      <c r="A713" s="281" t="s">
        <v>2044</v>
      </c>
      <c r="B713" s="281">
        <v>2</v>
      </c>
      <c r="C713" s="281"/>
      <c r="D713" s="281" t="s">
        <v>2045</v>
      </c>
    </row>
    <row r="714" spans="1:4" x14ac:dyDescent="0.2">
      <c r="A714" s="281" t="s">
        <v>2044</v>
      </c>
      <c r="B714" s="281">
        <v>3</v>
      </c>
      <c r="C714" s="281"/>
      <c r="D714" s="281" t="s">
        <v>2046</v>
      </c>
    </row>
    <row r="715" spans="1:4" x14ac:dyDescent="0.2">
      <c r="A715" s="281" t="s">
        <v>2044</v>
      </c>
      <c r="B715" s="281">
        <v>4</v>
      </c>
      <c r="C715" s="281"/>
      <c r="D715" s="281" t="s">
        <v>1933</v>
      </c>
    </row>
    <row r="716" spans="1:4" x14ac:dyDescent="0.2">
      <c r="A716" s="281" t="s">
        <v>2044</v>
      </c>
      <c r="B716" s="281">
        <v>5</v>
      </c>
      <c r="C716" s="281"/>
      <c r="D716" s="281" t="s">
        <v>1934</v>
      </c>
    </row>
    <row r="718" spans="1:4" x14ac:dyDescent="0.2">
      <c r="A718" s="281" t="s">
        <v>2047</v>
      </c>
      <c r="B718" s="281">
        <v>1</v>
      </c>
      <c r="C718" s="281"/>
      <c r="D718" s="281" t="s">
        <v>2048</v>
      </c>
    </row>
    <row r="719" spans="1:4" x14ac:dyDescent="0.2">
      <c r="A719" s="281" t="s">
        <v>2047</v>
      </c>
      <c r="B719" s="281">
        <v>2</v>
      </c>
      <c r="C719" s="281"/>
      <c r="D719" s="281" t="s">
        <v>2049</v>
      </c>
    </row>
    <row r="720" spans="1:4" x14ac:dyDescent="0.2">
      <c r="A720" s="281" t="s">
        <v>2047</v>
      </c>
      <c r="B720" s="281">
        <v>3</v>
      </c>
      <c r="C720" s="281"/>
      <c r="D720" s="281" t="s">
        <v>2050</v>
      </c>
    </row>
    <row r="721" spans="1:4" x14ac:dyDescent="0.2">
      <c r="A721" s="281" t="s">
        <v>2047</v>
      </c>
      <c r="B721" s="281">
        <v>4</v>
      </c>
      <c r="C721" s="281"/>
      <c r="D721" s="281" t="s">
        <v>2051</v>
      </c>
    </row>
    <row r="722" spans="1:4" x14ac:dyDescent="0.2">
      <c r="A722" s="281" t="s">
        <v>2047</v>
      </c>
      <c r="B722" s="281">
        <v>5</v>
      </c>
      <c r="C722" s="281"/>
      <c r="D722" s="281" t="s">
        <v>1456</v>
      </c>
    </row>
    <row r="723" spans="1:4" x14ac:dyDescent="0.2">
      <c r="A723" s="281" t="s">
        <v>2047</v>
      </c>
      <c r="B723" s="281">
        <v>6</v>
      </c>
      <c r="C723" s="281"/>
      <c r="D723" s="281" t="s">
        <v>1933</v>
      </c>
    </row>
    <row r="724" spans="1:4" x14ac:dyDescent="0.2">
      <c r="A724" s="281" t="s">
        <v>2047</v>
      </c>
      <c r="B724" s="281">
        <v>7</v>
      </c>
      <c r="C724" s="281"/>
      <c r="D724" s="281" t="s">
        <v>1934</v>
      </c>
    </row>
    <row r="726" spans="1:4" x14ac:dyDescent="0.2">
      <c r="A726" s="281" t="s">
        <v>2052</v>
      </c>
      <c r="B726" s="281">
        <v>1</v>
      </c>
      <c r="C726" s="281"/>
      <c r="D726" s="281" t="s">
        <v>2053</v>
      </c>
    </row>
    <row r="727" spans="1:4" x14ac:dyDescent="0.2">
      <c r="A727" s="281" t="s">
        <v>2052</v>
      </c>
      <c r="B727" s="281">
        <v>2</v>
      </c>
      <c r="C727" s="281"/>
      <c r="D727" s="281" t="s">
        <v>2054</v>
      </c>
    </row>
    <row r="728" spans="1:4" x14ac:dyDescent="0.2">
      <c r="A728" s="281" t="s">
        <v>2052</v>
      </c>
      <c r="B728" s="281">
        <v>3</v>
      </c>
      <c r="C728" s="281"/>
      <c r="D728" s="281" t="s">
        <v>2055</v>
      </c>
    </row>
    <row r="729" spans="1:4" x14ac:dyDescent="0.2">
      <c r="A729" s="281" t="s">
        <v>2052</v>
      </c>
      <c r="B729" s="281">
        <v>4</v>
      </c>
      <c r="C729" s="281"/>
      <c r="D729" s="281" t="s">
        <v>1933</v>
      </c>
    </row>
    <row r="730" spans="1:4" x14ac:dyDescent="0.2">
      <c r="A730" s="281" t="s">
        <v>2052</v>
      </c>
      <c r="B730" s="281">
        <v>5</v>
      </c>
      <c r="C730" s="281"/>
      <c r="D730" s="281" t="s">
        <v>1961</v>
      </c>
    </row>
    <row r="732" spans="1:4" x14ac:dyDescent="0.2">
      <c r="A732" s="288" t="s">
        <v>2056</v>
      </c>
      <c r="B732" s="288">
        <v>1</v>
      </c>
      <c r="C732" s="288"/>
      <c r="D732" s="288" t="s">
        <v>2057</v>
      </c>
    </row>
    <row r="733" spans="1:4" x14ac:dyDescent="0.2">
      <c r="A733" s="288" t="s">
        <v>2056</v>
      </c>
      <c r="B733" s="288">
        <v>2</v>
      </c>
      <c r="C733" s="288"/>
      <c r="D733" s="288" t="s">
        <v>2058</v>
      </c>
    </row>
    <row r="734" spans="1:4" x14ac:dyDescent="0.2">
      <c r="A734" s="288" t="s">
        <v>2056</v>
      </c>
      <c r="B734" s="288">
        <v>3</v>
      </c>
      <c r="C734" s="288"/>
      <c r="D734" s="288" t="s">
        <v>1048</v>
      </c>
    </row>
    <row r="735" spans="1:4" x14ac:dyDescent="0.2">
      <c r="A735" s="288" t="s">
        <v>2056</v>
      </c>
      <c r="B735" s="288">
        <v>4</v>
      </c>
      <c r="C735" s="288"/>
      <c r="D735" s="288" t="s">
        <v>1933</v>
      </c>
    </row>
    <row r="736" spans="1:4" x14ac:dyDescent="0.2">
      <c r="A736" s="288" t="s">
        <v>2056</v>
      </c>
      <c r="B736" s="288">
        <v>5</v>
      </c>
      <c r="C736" s="288"/>
      <c r="D736" s="288" t="s">
        <v>1934</v>
      </c>
    </row>
    <row r="738" spans="1:4" x14ac:dyDescent="0.2">
      <c r="A738" s="281" t="s">
        <v>2059</v>
      </c>
      <c r="B738" s="288">
        <v>1</v>
      </c>
      <c r="C738" s="281"/>
      <c r="D738" s="281" t="s">
        <v>2060</v>
      </c>
    </row>
    <row r="739" spans="1:4" x14ac:dyDescent="0.2">
      <c r="A739" s="281" t="s">
        <v>2059</v>
      </c>
      <c r="B739" s="288">
        <v>2</v>
      </c>
      <c r="C739" s="281"/>
      <c r="D739" s="281" t="s">
        <v>2061</v>
      </c>
    </row>
    <row r="740" spans="1:4" x14ac:dyDescent="0.2">
      <c r="A740" s="281" t="s">
        <v>2059</v>
      </c>
      <c r="B740" s="288">
        <v>3</v>
      </c>
      <c r="C740" s="281"/>
      <c r="D740" s="281" t="s">
        <v>2062</v>
      </c>
    </row>
    <row r="741" spans="1:4" x14ac:dyDescent="0.2">
      <c r="A741" s="281" t="s">
        <v>2059</v>
      </c>
      <c r="B741" s="288">
        <v>4</v>
      </c>
      <c r="C741" s="281"/>
      <c r="D741" s="281" t="s">
        <v>2063</v>
      </c>
    </row>
    <row r="742" spans="1:4" x14ac:dyDescent="0.2">
      <c r="A742" s="281" t="s">
        <v>2059</v>
      </c>
      <c r="B742" s="288">
        <v>5</v>
      </c>
      <c r="C742" s="281"/>
      <c r="D742" s="288" t="s">
        <v>1933</v>
      </c>
    </row>
    <row r="743" spans="1:4" x14ac:dyDescent="0.2">
      <c r="A743" s="281" t="s">
        <v>2059</v>
      </c>
      <c r="B743" s="281">
        <v>6</v>
      </c>
      <c r="C743" s="281"/>
      <c r="D743" s="288" t="s">
        <v>1934</v>
      </c>
    </row>
    <row r="745" spans="1:4" x14ac:dyDescent="0.2">
      <c r="A745" s="281" t="s">
        <v>2064</v>
      </c>
      <c r="B745" s="288">
        <v>1</v>
      </c>
      <c r="C745" s="281"/>
      <c r="D745" s="281" t="s">
        <v>2065</v>
      </c>
    </row>
    <row r="746" spans="1:4" x14ac:dyDescent="0.2">
      <c r="A746" s="281" t="s">
        <v>2064</v>
      </c>
      <c r="B746" s="288">
        <v>2</v>
      </c>
      <c r="C746" s="281"/>
      <c r="D746" s="281" t="s">
        <v>2066</v>
      </c>
    </row>
    <row r="747" spans="1:4" x14ac:dyDescent="0.2">
      <c r="A747" s="281" t="s">
        <v>2064</v>
      </c>
      <c r="B747" s="288">
        <v>3</v>
      </c>
      <c r="C747" s="281"/>
      <c r="D747" s="281" t="s">
        <v>2067</v>
      </c>
    </row>
    <row r="748" spans="1:4" x14ac:dyDescent="0.2">
      <c r="A748" s="281" t="s">
        <v>2064</v>
      </c>
      <c r="B748" s="288">
        <v>4</v>
      </c>
      <c r="C748" s="281"/>
      <c r="D748" s="281" t="s">
        <v>2068</v>
      </c>
    </row>
    <row r="749" spans="1:4" x14ac:dyDescent="0.2">
      <c r="A749" s="281" t="s">
        <v>2064</v>
      </c>
      <c r="B749" s="288">
        <v>5</v>
      </c>
      <c r="C749" s="281"/>
      <c r="D749" s="281" t="s">
        <v>2069</v>
      </c>
    </row>
    <row r="750" spans="1:4" x14ac:dyDescent="0.2">
      <c r="A750" s="281" t="s">
        <v>2064</v>
      </c>
      <c r="B750" s="288">
        <v>6</v>
      </c>
      <c r="C750" s="281"/>
      <c r="D750" s="281" t="s">
        <v>309</v>
      </c>
    </row>
    <row r="751" spans="1:4" x14ac:dyDescent="0.2">
      <c r="A751" s="281" t="s">
        <v>2064</v>
      </c>
      <c r="B751" s="288">
        <v>7</v>
      </c>
      <c r="C751" s="281"/>
      <c r="D751" s="288" t="s">
        <v>1933</v>
      </c>
    </row>
    <row r="752" spans="1:4" x14ac:dyDescent="0.2">
      <c r="A752" s="281" t="s">
        <v>2064</v>
      </c>
      <c r="B752" s="288">
        <v>8</v>
      </c>
      <c r="C752" s="281"/>
      <c r="D752" s="288" t="s">
        <v>1934</v>
      </c>
    </row>
    <row r="754" spans="1:4" x14ac:dyDescent="0.2">
      <c r="A754" t="s">
        <v>2070</v>
      </c>
      <c r="B754" t="s">
        <v>2071</v>
      </c>
      <c r="C754" t="s">
        <v>2072</v>
      </c>
      <c r="D754" t="s">
        <v>2073</v>
      </c>
    </row>
    <row r="755" spans="1:4" x14ac:dyDescent="0.2">
      <c r="A755" t="s">
        <v>2070</v>
      </c>
      <c r="B755" t="s">
        <v>2074</v>
      </c>
      <c r="C755" t="s">
        <v>2075</v>
      </c>
      <c r="D755" t="s">
        <v>2076</v>
      </c>
    </row>
    <row r="756" spans="1:4" x14ac:dyDescent="0.2">
      <c r="A756" t="s">
        <v>2070</v>
      </c>
      <c r="B756" t="s">
        <v>2077</v>
      </c>
      <c r="C756" t="s">
        <v>2078</v>
      </c>
      <c r="D756" t="s">
        <v>2079</v>
      </c>
    </row>
    <row r="757" spans="1:4" x14ac:dyDescent="0.2">
      <c r="A757" t="s">
        <v>2070</v>
      </c>
      <c r="B757" t="s">
        <v>2080</v>
      </c>
      <c r="C757" t="s">
        <v>2081</v>
      </c>
      <c r="D757" t="s">
        <v>2082</v>
      </c>
    </row>
    <row r="758" spans="1:4" x14ac:dyDescent="0.2">
      <c r="A758" t="s">
        <v>2070</v>
      </c>
      <c r="B758" t="s">
        <v>2083</v>
      </c>
      <c r="C758" t="s">
        <v>2084</v>
      </c>
      <c r="D758" t="s">
        <v>2085</v>
      </c>
    </row>
    <row r="759" spans="1:4" x14ac:dyDescent="0.2">
      <c r="A759" t="s">
        <v>2070</v>
      </c>
      <c r="B759" t="s">
        <v>2086</v>
      </c>
      <c r="C759" t="s">
        <v>2087</v>
      </c>
      <c r="D759" t="s">
        <v>2088</v>
      </c>
    </row>
    <row r="760" spans="1:4" x14ac:dyDescent="0.2">
      <c r="A760" t="s">
        <v>2070</v>
      </c>
      <c r="B760" t="s">
        <v>2089</v>
      </c>
      <c r="C760" t="s">
        <v>2090</v>
      </c>
      <c r="D760" t="s">
        <v>2091</v>
      </c>
    </row>
    <row r="761" spans="1:4" x14ac:dyDescent="0.2">
      <c r="A761" t="s">
        <v>2070</v>
      </c>
      <c r="B761" t="s">
        <v>2092</v>
      </c>
      <c r="C761" t="s">
        <v>2093</v>
      </c>
      <c r="D761" t="s">
        <v>2094</v>
      </c>
    </row>
    <row r="762" spans="1:4" x14ac:dyDescent="0.2">
      <c r="A762" t="s">
        <v>2070</v>
      </c>
      <c r="B762" t="s">
        <v>2095</v>
      </c>
      <c r="C762" t="s">
        <v>2096</v>
      </c>
      <c r="D762" t="s">
        <v>2097</v>
      </c>
    </row>
    <row r="763" spans="1:4" x14ac:dyDescent="0.2">
      <c r="A763" t="s">
        <v>2070</v>
      </c>
      <c r="B763" t="s">
        <v>2098</v>
      </c>
      <c r="C763" t="s">
        <v>2099</v>
      </c>
      <c r="D763" t="s">
        <v>2100</v>
      </c>
    </row>
    <row r="764" spans="1:4" x14ac:dyDescent="0.2">
      <c r="A764" t="s">
        <v>2070</v>
      </c>
      <c r="B764" t="s">
        <v>2101</v>
      </c>
      <c r="C764" t="s">
        <v>2102</v>
      </c>
      <c r="D764" t="s">
        <v>2103</v>
      </c>
    </row>
    <row r="765" spans="1:4" x14ac:dyDescent="0.2">
      <c r="A765" t="s">
        <v>2070</v>
      </c>
      <c r="B765" t="s">
        <v>2104</v>
      </c>
      <c r="C765" t="s">
        <v>2105</v>
      </c>
      <c r="D765" t="s">
        <v>2106</v>
      </c>
    </row>
    <row r="766" spans="1:4" x14ac:dyDescent="0.2">
      <c r="A766" t="s">
        <v>2070</v>
      </c>
      <c r="B766" t="s">
        <v>2107</v>
      </c>
      <c r="C766" t="s">
        <v>2108</v>
      </c>
      <c r="D766" t="s">
        <v>2109</v>
      </c>
    </row>
    <row r="767" spans="1:4" x14ac:dyDescent="0.2">
      <c r="A767" t="s">
        <v>2070</v>
      </c>
      <c r="B767" t="s">
        <v>2110</v>
      </c>
      <c r="C767" t="s">
        <v>2111</v>
      </c>
      <c r="D767" t="s">
        <v>2112</v>
      </c>
    </row>
    <row r="768" spans="1:4" x14ac:dyDescent="0.2">
      <c r="A768" t="s">
        <v>2070</v>
      </c>
      <c r="B768" t="s">
        <v>2113</v>
      </c>
      <c r="C768" t="s">
        <v>2114</v>
      </c>
      <c r="D768" t="s">
        <v>2115</v>
      </c>
    </row>
    <row r="769" spans="1:4" x14ac:dyDescent="0.2">
      <c r="A769" t="s">
        <v>2070</v>
      </c>
      <c r="B769" t="s">
        <v>2116</v>
      </c>
      <c r="C769" t="s">
        <v>2117</v>
      </c>
      <c r="D769" t="s">
        <v>2118</v>
      </c>
    </row>
    <row r="770" spans="1:4" x14ac:dyDescent="0.2">
      <c r="A770" t="s">
        <v>2070</v>
      </c>
      <c r="B770" t="s">
        <v>2119</v>
      </c>
      <c r="C770" t="s">
        <v>2120</v>
      </c>
      <c r="D770" t="s">
        <v>2121</v>
      </c>
    </row>
    <row r="771" spans="1:4" x14ac:dyDescent="0.2">
      <c r="A771" t="s">
        <v>2070</v>
      </c>
      <c r="B771" t="s">
        <v>2122</v>
      </c>
      <c r="C771" t="s">
        <v>2123</v>
      </c>
      <c r="D771" t="s">
        <v>2124</v>
      </c>
    </row>
    <row r="772" spans="1:4" x14ac:dyDescent="0.2">
      <c r="A772" t="s">
        <v>2070</v>
      </c>
      <c r="B772" t="s">
        <v>2125</v>
      </c>
      <c r="C772" t="s">
        <v>2126</v>
      </c>
      <c r="D772" t="s">
        <v>2126</v>
      </c>
    </row>
    <row r="773" spans="1:4" x14ac:dyDescent="0.2">
      <c r="A773" t="s">
        <v>2070</v>
      </c>
      <c r="B773" t="s">
        <v>2127</v>
      </c>
      <c r="C773" t="s">
        <v>2128</v>
      </c>
      <c r="D773" t="s">
        <v>2129</v>
      </c>
    </row>
    <row r="774" spans="1:4" x14ac:dyDescent="0.2">
      <c r="A774" t="s">
        <v>2070</v>
      </c>
      <c r="B774" t="s">
        <v>2130</v>
      </c>
      <c r="C774" t="s">
        <v>2131</v>
      </c>
      <c r="D774" t="s">
        <v>2132</v>
      </c>
    </row>
    <row r="775" spans="1:4" x14ac:dyDescent="0.2">
      <c r="A775" t="s">
        <v>2070</v>
      </c>
      <c r="B775" t="s">
        <v>2133</v>
      </c>
      <c r="C775" t="s">
        <v>2134</v>
      </c>
      <c r="D775" t="s">
        <v>2135</v>
      </c>
    </row>
    <row r="776" spans="1:4" x14ac:dyDescent="0.2">
      <c r="A776" t="s">
        <v>2070</v>
      </c>
      <c r="B776" t="s">
        <v>2136</v>
      </c>
      <c r="C776" t="s">
        <v>2137</v>
      </c>
      <c r="D776" t="s">
        <v>2138</v>
      </c>
    </row>
    <row r="777" spans="1:4" x14ac:dyDescent="0.2">
      <c r="A777" t="s">
        <v>2070</v>
      </c>
      <c r="B777" t="s">
        <v>2139</v>
      </c>
      <c r="C777" t="s">
        <v>2140</v>
      </c>
      <c r="D777" t="s">
        <v>2141</v>
      </c>
    </row>
    <row r="778" spans="1:4" x14ac:dyDescent="0.2">
      <c r="A778" t="s">
        <v>2070</v>
      </c>
      <c r="B778" t="s">
        <v>2142</v>
      </c>
      <c r="C778" t="s">
        <v>2143</v>
      </c>
      <c r="D778" t="s">
        <v>2144</v>
      </c>
    </row>
    <row r="779" spans="1:4" x14ac:dyDescent="0.2">
      <c r="A779" t="s">
        <v>2070</v>
      </c>
      <c r="B779" t="s">
        <v>2145</v>
      </c>
      <c r="C779" t="s">
        <v>2146</v>
      </c>
      <c r="D779" t="s">
        <v>2144</v>
      </c>
    </row>
    <row r="780" spans="1:4" x14ac:dyDescent="0.2">
      <c r="A780" t="s">
        <v>2070</v>
      </c>
      <c r="B780" t="s">
        <v>2147</v>
      </c>
      <c r="C780" t="s">
        <v>2148</v>
      </c>
      <c r="D780" t="s">
        <v>2149</v>
      </c>
    </row>
    <row r="781" spans="1:4" x14ac:dyDescent="0.2">
      <c r="A781" t="s">
        <v>2070</v>
      </c>
      <c r="B781" t="s">
        <v>2150</v>
      </c>
      <c r="C781" t="s">
        <v>2151</v>
      </c>
      <c r="D781" t="s">
        <v>2152</v>
      </c>
    </row>
    <row r="782" spans="1:4" x14ac:dyDescent="0.2">
      <c r="A782" t="s">
        <v>2070</v>
      </c>
      <c r="B782" t="s">
        <v>2153</v>
      </c>
      <c r="C782" t="s">
        <v>2154</v>
      </c>
      <c r="D782" t="s">
        <v>2155</v>
      </c>
    </row>
    <row r="783" spans="1:4" x14ac:dyDescent="0.2">
      <c r="A783" t="s">
        <v>2070</v>
      </c>
      <c r="B783" t="s">
        <v>2156</v>
      </c>
      <c r="C783" t="s">
        <v>2157</v>
      </c>
      <c r="D783" t="s">
        <v>2158</v>
      </c>
    </row>
    <row r="784" spans="1:4" x14ac:dyDescent="0.2">
      <c r="A784" t="s">
        <v>2070</v>
      </c>
      <c r="B784" t="s">
        <v>2159</v>
      </c>
      <c r="C784" t="s">
        <v>2160</v>
      </c>
      <c r="D784" t="s">
        <v>2161</v>
      </c>
    </row>
    <row r="785" spans="1:4" x14ac:dyDescent="0.2">
      <c r="A785" t="s">
        <v>2070</v>
      </c>
      <c r="B785" t="s">
        <v>2162</v>
      </c>
      <c r="C785" t="s">
        <v>2163</v>
      </c>
      <c r="D785" t="s">
        <v>2164</v>
      </c>
    </row>
    <row r="786" spans="1:4" x14ac:dyDescent="0.2">
      <c r="A786" t="s">
        <v>2070</v>
      </c>
      <c r="B786" t="s">
        <v>2165</v>
      </c>
      <c r="C786" t="s">
        <v>2166</v>
      </c>
      <c r="D786" t="s">
        <v>2167</v>
      </c>
    </row>
    <row r="787" spans="1:4" x14ac:dyDescent="0.2">
      <c r="A787" t="s">
        <v>2070</v>
      </c>
      <c r="B787" t="s">
        <v>2168</v>
      </c>
      <c r="C787" t="s">
        <v>2169</v>
      </c>
      <c r="D787" t="s">
        <v>2169</v>
      </c>
    </row>
    <row r="788" spans="1:4" x14ac:dyDescent="0.2">
      <c r="A788" t="s">
        <v>2070</v>
      </c>
      <c r="B788" t="s">
        <v>2170</v>
      </c>
      <c r="C788" t="s">
        <v>2171</v>
      </c>
      <c r="D788" t="s">
        <v>2172</v>
      </c>
    </row>
    <row r="789" spans="1:4" x14ac:dyDescent="0.2">
      <c r="A789" t="s">
        <v>2070</v>
      </c>
      <c r="B789" t="s">
        <v>2173</v>
      </c>
      <c r="C789" t="s">
        <v>2174</v>
      </c>
      <c r="D789" t="s">
        <v>2175</v>
      </c>
    </row>
    <row r="790" spans="1:4" x14ac:dyDescent="0.2">
      <c r="A790" t="s">
        <v>2070</v>
      </c>
      <c r="B790" t="s">
        <v>2176</v>
      </c>
      <c r="C790" t="s">
        <v>2177</v>
      </c>
      <c r="D790" t="s">
        <v>2178</v>
      </c>
    </row>
    <row r="791" spans="1:4" x14ac:dyDescent="0.2">
      <c r="A791" t="s">
        <v>2070</v>
      </c>
      <c r="B791" t="s">
        <v>2179</v>
      </c>
      <c r="C791" t="s">
        <v>2180</v>
      </c>
      <c r="D791" t="s">
        <v>2181</v>
      </c>
    </row>
    <row r="792" spans="1:4" x14ac:dyDescent="0.2">
      <c r="A792" t="s">
        <v>2070</v>
      </c>
      <c r="B792" t="s">
        <v>2182</v>
      </c>
      <c r="C792" t="s">
        <v>2183</v>
      </c>
      <c r="D792" t="s">
        <v>2184</v>
      </c>
    </row>
    <row r="793" spans="1:4" x14ac:dyDescent="0.2">
      <c r="A793" t="s">
        <v>2070</v>
      </c>
      <c r="B793" t="s">
        <v>2185</v>
      </c>
      <c r="C793" t="s">
        <v>2186</v>
      </c>
      <c r="D793" t="s">
        <v>2187</v>
      </c>
    </row>
    <row r="794" spans="1:4" x14ac:dyDescent="0.2">
      <c r="A794" t="s">
        <v>2070</v>
      </c>
      <c r="B794" t="s">
        <v>2188</v>
      </c>
      <c r="C794" t="s">
        <v>2189</v>
      </c>
      <c r="D794" t="s">
        <v>2190</v>
      </c>
    </row>
    <row r="795" spans="1:4" x14ac:dyDescent="0.2">
      <c r="A795" t="s">
        <v>2070</v>
      </c>
      <c r="B795" t="s">
        <v>2191</v>
      </c>
      <c r="C795" t="s">
        <v>2192</v>
      </c>
      <c r="D795" t="s">
        <v>2193</v>
      </c>
    </row>
    <row r="796" spans="1:4" x14ac:dyDescent="0.2">
      <c r="A796" t="s">
        <v>2070</v>
      </c>
      <c r="B796" t="s">
        <v>2194</v>
      </c>
      <c r="C796" t="s">
        <v>2195</v>
      </c>
      <c r="D796" t="s">
        <v>2196</v>
      </c>
    </row>
    <row r="797" spans="1:4" x14ac:dyDescent="0.2">
      <c r="A797" t="s">
        <v>2070</v>
      </c>
      <c r="B797" t="s">
        <v>2197</v>
      </c>
      <c r="C797" t="s">
        <v>2198</v>
      </c>
      <c r="D797" t="s">
        <v>2199</v>
      </c>
    </row>
    <row r="798" spans="1:4" x14ac:dyDescent="0.2">
      <c r="A798" t="s">
        <v>2070</v>
      </c>
      <c r="B798" t="s">
        <v>2200</v>
      </c>
      <c r="C798" t="s">
        <v>2201</v>
      </c>
      <c r="D798" t="s">
        <v>2201</v>
      </c>
    </row>
    <row r="799" spans="1:4" x14ac:dyDescent="0.2">
      <c r="A799" t="s">
        <v>2070</v>
      </c>
      <c r="B799" t="s">
        <v>2202</v>
      </c>
      <c r="C799" t="s">
        <v>2203</v>
      </c>
      <c r="D799" t="s">
        <v>2204</v>
      </c>
    </row>
    <row r="800" spans="1:4" x14ac:dyDescent="0.2">
      <c r="A800" t="s">
        <v>2070</v>
      </c>
      <c r="B800" t="s">
        <v>2205</v>
      </c>
      <c r="C800" t="s">
        <v>2206</v>
      </c>
      <c r="D800" t="s">
        <v>2207</v>
      </c>
    </row>
    <row r="801" spans="1:4" x14ac:dyDescent="0.2">
      <c r="A801" t="s">
        <v>2070</v>
      </c>
      <c r="B801" t="s">
        <v>2208</v>
      </c>
      <c r="C801" t="s">
        <v>2209</v>
      </c>
      <c r="D801" t="s">
        <v>2210</v>
      </c>
    </row>
    <row r="802" spans="1:4" x14ac:dyDescent="0.2">
      <c r="A802" t="s">
        <v>2070</v>
      </c>
      <c r="B802" t="s">
        <v>2211</v>
      </c>
      <c r="C802" t="s">
        <v>2212</v>
      </c>
      <c r="D802" t="s">
        <v>2213</v>
      </c>
    </row>
    <row r="803" spans="1:4" x14ac:dyDescent="0.2">
      <c r="A803" t="s">
        <v>2070</v>
      </c>
      <c r="B803" t="s">
        <v>2214</v>
      </c>
      <c r="C803" t="s">
        <v>2215</v>
      </c>
      <c r="D803" t="s">
        <v>2216</v>
      </c>
    </row>
    <row r="804" spans="1:4" x14ac:dyDescent="0.2">
      <c r="A804" t="s">
        <v>2070</v>
      </c>
      <c r="B804" t="s">
        <v>2217</v>
      </c>
      <c r="C804" t="s">
        <v>2218</v>
      </c>
      <c r="D804" t="s">
        <v>2219</v>
      </c>
    </row>
    <row r="805" spans="1:4" x14ac:dyDescent="0.2">
      <c r="A805" t="s">
        <v>2070</v>
      </c>
      <c r="B805" t="s">
        <v>2220</v>
      </c>
      <c r="C805" t="s">
        <v>2221</v>
      </c>
      <c r="D805" t="s">
        <v>2222</v>
      </c>
    </row>
    <row r="806" spans="1:4" x14ac:dyDescent="0.2">
      <c r="A806" t="s">
        <v>2070</v>
      </c>
      <c r="B806" t="s">
        <v>2223</v>
      </c>
      <c r="C806" t="s">
        <v>2224</v>
      </c>
      <c r="D806" t="s">
        <v>2225</v>
      </c>
    </row>
    <row r="807" spans="1:4" x14ac:dyDescent="0.2">
      <c r="A807" t="s">
        <v>2070</v>
      </c>
      <c r="B807" t="s">
        <v>2226</v>
      </c>
      <c r="C807" t="s">
        <v>2227</v>
      </c>
      <c r="D807" t="s">
        <v>2228</v>
      </c>
    </row>
    <row r="808" spans="1:4" x14ac:dyDescent="0.2">
      <c r="A808" t="s">
        <v>2070</v>
      </c>
      <c r="B808" t="s">
        <v>2229</v>
      </c>
      <c r="C808" t="s">
        <v>2230</v>
      </c>
      <c r="D808" t="s">
        <v>2231</v>
      </c>
    </row>
    <row r="809" spans="1:4" x14ac:dyDescent="0.2">
      <c r="A809" t="s">
        <v>2070</v>
      </c>
      <c r="B809" t="s">
        <v>2232</v>
      </c>
      <c r="C809" t="s">
        <v>2233</v>
      </c>
      <c r="D809" t="s">
        <v>2234</v>
      </c>
    </row>
    <row r="810" spans="1:4" x14ac:dyDescent="0.2">
      <c r="A810" t="s">
        <v>2070</v>
      </c>
      <c r="B810" t="s">
        <v>2235</v>
      </c>
      <c r="C810" t="s">
        <v>2236</v>
      </c>
      <c r="D810" t="s">
        <v>2237</v>
      </c>
    </row>
    <row r="811" spans="1:4" x14ac:dyDescent="0.2">
      <c r="A811" t="s">
        <v>2070</v>
      </c>
      <c r="B811" t="s">
        <v>2238</v>
      </c>
      <c r="C811" t="s">
        <v>2239</v>
      </c>
      <c r="D811" t="s">
        <v>2240</v>
      </c>
    </row>
    <row r="812" spans="1:4" x14ac:dyDescent="0.2">
      <c r="A812" t="s">
        <v>2070</v>
      </c>
      <c r="B812" t="s">
        <v>2241</v>
      </c>
      <c r="C812" t="s">
        <v>2242</v>
      </c>
      <c r="D812" t="s">
        <v>2243</v>
      </c>
    </row>
    <row r="813" spans="1:4" x14ac:dyDescent="0.2">
      <c r="A813" t="s">
        <v>2070</v>
      </c>
      <c r="B813" t="s">
        <v>2244</v>
      </c>
      <c r="C813" t="s">
        <v>2245</v>
      </c>
      <c r="D813" t="s">
        <v>2246</v>
      </c>
    </row>
    <row r="814" spans="1:4" x14ac:dyDescent="0.2">
      <c r="A814" t="s">
        <v>2070</v>
      </c>
      <c r="B814" t="s">
        <v>2247</v>
      </c>
      <c r="C814" t="s">
        <v>2248</v>
      </c>
      <c r="D814" t="s">
        <v>2249</v>
      </c>
    </row>
    <row r="815" spans="1:4" x14ac:dyDescent="0.2">
      <c r="A815" t="s">
        <v>2070</v>
      </c>
      <c r="B815" t="s">
        <v>2250</v>
      </c>
      <c r="C815" t="s">
        <v>2251</v>
      </c>
      <c r="D815" t="s">
        <v>2252</v>
      </c>
    </row>
    <row r="816" spans="1:4" x14ac:dyDescent="0.2">
      <c r="A816" t="s">
        <v>2070</v>
      </c>
      <c r="B816" t="s">
        <v>2253</v>
      </c>
      <c r="C816" t="s">
        <v>2254</v>
      </c>
      <c r="D816" t="s">
        <v>2255</v>
      </c>
    </row>
    <row r="817" spans="1:4" x14ac:dyDescent="0.2">
      <c r="A817" t="s">
        <v>2070</v>
      </c>
      <c r="B817" t="s">
        <v>2256</v>
      </c>
      <c r="C817" t="s">
        <v>2257</v>
      </c>
      <c r="D817" t="s">
        <v>2257</v>
      </c>
    </row>
    <row r="818" spans="1:4" x14ac:dyDescent="0.2">
      <c r="A818" t="s">
        <v>2070</v>
      </c>
      <c r="B818" t="s">
        <v>2258</v>
      </c>
      <c r="C818" t="s">
        <v>2259</v>
      </c>
      <c r="D818" t="s">
        <v>2259</v>
      </c>
    </row>
    <row r="819" spans="1:4" x14ac:dyDescent="0.2">
      <c r="A819" t="s">
        <v>2070</v>
      </c>
      <c r="B819" t="s">
        <v>2260</v>
      </c>
      <c r="C819" t="s">
        <v>2261</v>
      </c>
      <c r="D819" t="s">
        <v>2262</v>
      </c>
    </row>
    <row r="820" spans="1:4" x14ac:dyDescent="0.2">
      <c r="A820" t="s">
        <v>2070</v>
      </c>
      <c r="B820" t="s">
        <v>2263</v>
      </c>
      <c r="C820" t="s">
        <v>2264</v>
      </c>
      <c r="D820" t="s">
        <v>2265</v>
      </c>
    </row>
    <row r="821" spans="1:4" x14ac:dyDescent="0.2">
      <c r="A821" t="s">
        <v>2070</v>
      </c>
      <c r="B821" t="s">
        <v>2266</v>
      </c>
      <c r="C821" t="s">
        <v>2267</v>
      </c>
      <c r="D821" t="s">
        <v>2268</v>
      </c>
    </row>
    <row r="822" spans="1:4" x14ac:dyDescent="0.2">
      <c r="A822" t="s">
        <v>2070</v>
      </c>
      <c r="B822" t="s">
        <v>2269</v>
      </c>
      <c r="C822" t="s">
        <v>2270</v>
      </c>
      <c r="D822" t="s">
        <v>2271</v>
      </c>
    </row>
    <row r="823" spans="1:4" x14ac:dyDescent="0.2">
      <c r="A823" t="s">
        <v>2070</v>
      </c>
      <c r="B823" t="s">
        <v>2272</v>
      </c>
      <c r="C823" t="s">
        <v>2273</v>
      </c>
      <c r="D823" t="s">
        <v>2274</v>
      </c>
    </row>
    <row r="824" spans="1:4" x14ac:dyDescent="0.2">
      <c r="A824" t="s">
        <v>2070</v>
      </c>
      <c r="B824" t="s">
        <v>2275</v>
      </c>
      <c r="C824" t="s">
        <v>2276</v>
      </c>
      <c r="D824" t="s">
        <v>2277</v>
      </c>
    </row>
    <row r="825" spans="1:4" x14ac:dyDescent="0.2">
      <c r="A825" t="s">
        <v>2070</v>
      </c>
      <c r="B825" t="s">
        <v>2278</v>
      </c>
      <c r="C825" t="s">
        <v>2279</v>
      </c>
      <c r="D825" t="s">
        <v>2280</v>
      </c>
    </row>
    <row r="826" spans="1:4" x14ac:dyDescent="0.2">
      <c r="A826" t="s">
        <v>2070</v>
      </c>
      <c r="B826" t="s">
        <v>2281</v>
      </c>
      <c r="C826" t="s">
        <v>2282</v>
      </c>
      <c r="D826" t="s">
        <v>2283</v>
      </c>
    </row>
    <row r="827" spans="1:4" x14ac:dyDescent="0.2">
      <c r="A827" t="s">
        <v>2070</v>
      </c>
      <c r="B827" t="s">
        <v>2284</v>
      </c>
      <c r="C827" t="s">
        <v>2285</v>
      </c>
      <c r="D827" t="s">
        <v>2286</v>
      </c>
    </row>
    <row r="828" spans="1:4" x14ac:dyDescent="0.2">
      <c r="A828" t="s">
        <v>2070</v>
      </c>
      <c r="B828" t="s">
        <v>2287</v>
      </c>
      <c r="C828" t="s">
        <v>2288</v>
      </c>
      <c r="D828" t="s">
        <v>2289</v>
      </c>
    </row>
    <row r="829" spans="1:4" x14ac:dyDescent="0.2">
      <c r="A829" t="s">
        <v>2070</v>
      </c>
      <c r="B829" t="s">
        <v>2290</v>
      </c>
      <c r="C829" t="s">
        <v>2291</v>
      </c>
      <c r="D829" t="s">
        <v>2292</v>
      </c>
    </row>
    <row r="830" spans="1:4" x14ac:dyDescent="0.2">
      <c r="A830" t="s">
        <v>2070</v>
      </c>
      <c r="B830" t="s">
        <v>2293</v>
      </c>
      <c r="C830" t="s">
        <v>2294</v>
      </c>
      <c r="D830" t="s">
        <v>2295</v>
      </c>
    </row>
    <row r="831" spans="1:4" x14ac:dyDescent="0.2">
      <c r="A831" t="s">
        <v>2070</v>
      </c>
      <c r="B831" t="s">
        <v>2296</v>
      </c>
      <c r="C831" t="s">
        <v>2297</v>
      </c>
      <c r="D831" t="s">
        <v>2298</v>
      </c>
    </row>
    <row r="832" spans="1:4" x14ac:dyDescent="0.2">
      <c r="A832" t="s">
        <v>2070</v>
      </c>
      <c r="B832" t="s">
        <v>2299</v>
      </c>
      <c r="C832" t="s">
        <v>2300</v>
      </c>
      <c r="D832" t="s">
        <v>2301</v>
      </c>
    </row>
    <row r="833" spans="1:4" x14ac:dyDescent="0.2">
      <c r="A833" t="s">
        <v>2070</v>
      </c>
      <c r="B833" t="s">
        <v>2302</v>
      </c>
      <c r="C833" t="s">
        <v>2303</v>
      </c>
      <c r="D833" t="s">
        <v>2304</v>
      </c>
    </row>
    <row r="834" spans="1:4" x14ac:dyDescent="0.2">
      <c r="A834" t="s">
        <v>2070</v>
      </c>
      <c r="B834" t="s">
        <v>2305</v>
      </c>
      <c r="C834" t="s">
        <v>2306</v>
      </c>
      <c r="D834" t="s">
        <v>2307</v>
      </c>
    </row>
    <row r="835" spans="1:4" x14ac:dyDescent="0.2">
      <c r="A835" t="s">
        <v>2070</v>
      </c>
      <c r="B835" t="s">
        <v>2308</v>
      </c>
      <c r="C835" t="s">
        <v>2309</v>
      </c>
      <c r="D835" t="s">
        <v>2310</v>
      </c>
    </row>
    <row r="836" spans="1:4" x14ac:dyDescent="0.2">
      <c r="A836" t="s">
        <v>2070</v>
      </c>
      <c r="B836" t="s">
        <v>2311</v>
      </c>
      <c r="C836" t="s">
        <v>2312</v>
      </c>
      <c r="D836" t="s">
        <v>2313</v>
      </c>
    </row>
    <row r="837" spans="1:4" x14ac:dyDescent="0.2">
      <c r="A837" t="s">
        <v>2070</v>
      </c>
      <c r="B837" t="s">
        <v>2314</v>
      </c>
      <c r="C837" t="s">
        <v>2315</v>
      </c>
      <c r="D837" t="s">
        <v>2316</v>
      </c>
    </row>
    <row r="838" spans="1:4" x14ac:dyDescent="0.2">
      <c r="A838" t="s">
        <v>2070</v>
      </c>
      <c r="B838" t="s">
        <v>2317</v>
      </c>
      <c r="C838" t="s">
        <v>2318</v>
      </c>
      <c r="D838" t="s">
        <v>2319</v>
      </c>
    </row>
    <row r="839" spans="1:4" x14ac:dyDescent="0.2">
      <c r="A839" t="s">
        <v>2070</v>
      </c>
      <c r="B839" t="s">
        <v>2320</v>
      </c>
      <c r="C839" t="s">
        <v>2321</v>
      </c>
      <c r="D839" t="s">
        <v>2322</v>
      </c>
    </row>
    <row r="840" spans="1:4" x14ac:dyDescent="0.2">
      <c r="A840" t="s">
        <v>2070</v>
      </c>
      <c r="B840" t="s">
        <v>2323</v>
      </c>
      <c r="C840" t="s">
        <v>2324</v>
      </c>
      <c r="D840" t="s">
        <v>2325</v>
      </c>
    </row>
    <row r="841" spans="1:4" x14ac:dyDescent="0.2">
      <c r="A841" t="s">
        <v>2070</v>
      </c>
      <c r="B841" t="s">
        <v>2326</v>
      </c>
      <c r="C841" t="s">
        <v>2327</v>
      </c>
      <c r="D841" t="s">
        <v>2328</v>
      </c>
    </row>
    <row r="842" spans="1:4" x14ac:dyDescent="0.2">
      <c r="A842" t="s">
        <v>2070</v>
      </c>
      <c r="B842" t="s">
        <v>2329</v>
      </c>
      <c r="C842" t="s">
        <v>2330</v>
      </c>
      <c r="D842" t="s">
        <v>2330</v>
      </c>
    </row>
    <row r="843" spans="1:4" x14ac:dyDescent="0.2">
      <c r="A843" t="s">
        <v>2070</v>
      </c>
      <c r="B843" t="s">
        <v>2331</v>
      </c>
      <c r="C843" t="s">
        <v>2332</v>
      </c>
      <c r="D843" t="s">
        <v>2333</v>
      </c>
    </row>
    <row r="844" spans="1:4" x14ac:dyDescent="0.2">
      <c r="A844" t="s">
        <v>2070</v>
      </c>
      <c r="B844" t="s">
        <v>2334</v>
      </c>
      <c r="C844" t="s">
        <v>2335</v>
      </c>
      <c r="D844" t="s">
        <v>2336</v>
      </c>
    </row>
    <row r="845" spans="1:4" x14ac:dyDescent="0.2">
      <c r="A845" t="s">
        <v>2070</v>
      </c>
      <c r="B845" t="s">
        <v>2337</v>
      </c>
      <c r="C845" t="s">
        <v>2042</v>
      </c>
      <c r="D845" t="s">
        <v>2338</v>
      </c>
    </row>
    <row r="846" spans="1:4" x14ac:dyDescent="0.2">
      <c r="A846" t="s">
        <v>2070</v>
      </c>
      <c r="B846" t="s">
        <v>2339</v>
      </c>
      <c r="C846" t="s">
        <v>2043</v>
      </c>
      <c r="D846" t="s">
        <v>2340</v>
      </c>
    </row>
    <row r="848" spans="1:4" x14ac:dyDescent="0.2">
      <c r="A848" t="s">
        <v>2341</v>
      </c>
      <c r="B848" t="s">
        <v>2071</v>
      </c>
      <c r="C848" t="s">
        <v>2072</v>
      </c>
      <c r="D848" t="s">
        <v>2073</v>
      </c>
    </row>
    <row r="849" spans="1:4" x14ac:dyDescent="0.2">
      <c r="A849" t="s">
        <v>2341</v>
      </c>
      <c r="B849" t="s">
        <v>2074</v>
      </c>
      <c r="C849" t="s">
        <v>2075</v>
      </c>
      <c r="D849" t="s">
        <v>2076</v>
      </c>
    </row>
    <row r="850" spans="1:4" x14ac:dyDescent="0.2">
      <c r="A850" t="s">
        <v>2341</v>
      </c>
      <c r="B850" t="s">
        <v>2077</v>
      </c>
      <c r="C850" t="s">
        <v>2078</v>
      </c>
      <c r="D850" t="s">
        <v>2079</v>
      </c>
    </row>
    <row r="851" spans="1:4" x14ac:dyDescent="0.2">
      <c r="A851" t="s">
        <v>2341</v>
      </c>
      <c r="B851" t="s">
        <v>2080</v>
      </c>
      <c r="C851" t="s">
        <v>2081</v>
      </c>
      <c r="D851" t="s">
        <v>2082</v>
      </c>
    </row>
    <row r="852" spans="1:4" x14ac:dyDescent="0.2">
      <c r="A852" t="s">
        <v>2341</v>
      </c>
      <c r="B852" t="s">
        <v>2083</v>
      </c>
      <c r="C852" t="s">
        <v>2084</v>
      </c>
      <c r="D852" t="s">
        <v>2085</v>
      </c>
    </row>
    <row r="853" spans="1:4" x14ac:dyDescent="0.2">
      <c r="A853" t="s">
        <v>2341</v>
      </c>
      <c r="B853" t="s">
        <v>2086</v>
      </c>
      <c r="C853" t="s">
        <v>2087</v>
      </c>
      <c r="D853" t="s">
        <v>2088</v>
      </c>
    </row>
    <row r="854" spans="1:4" x14ac:dyDescent="0.2">
      <c r="A854" t="s">
        <v>2341</v>
      </c>
      <c r="B854" t="s">
        <v>2089</v>
      </c>
      <c r="C854" t="s">
        <v>2090</v>
      </c>
      <c r="D854" t="s">
        <v>2091</v>
      </c>
    </row>
    <row r="855" spans="1:4" x14ac:dyDescent="0.2">
      <c r="A855" t="s">
        <v>2341</v>
      </c>
      <c r="B855" t="s">
        <v>2092</v>
      </c>
      <c r="C855" t="s">
        <v>2093</v>
      </c>
      <c r="D855" t="s">
        <v>2094</v>
      </c>
    </row>
    <row r="856" spans="1:4" x14ac:dyDescent="0.2">
      <c r="A856" t="s">
        <v>2341</v>
      </c>
      <c r="B856" t="s">
        <v>2095</v>
      </c>
      <c r="C856" t="s">
        <v>2096</v>
      </c>
      <c r="D856" t="s">
        <v>2097</v>
      </c>
    </row>
    <row r="857" spans="1:4" x14ac:dyDescent="0.2">
      <c r="A857" t="s">
        <v>2341</v>
      </c>
      <c r="B857" t="s">
        <v>2098</v>
      </c>
      <c r="C857" t="s">
        <v>2099</v>
      </c>
      <c r="D857" t="s">
        <v>2100</v>
      </c>
    </row>
    <row r="858" spans="1:4" x14ac:dyDescent="0.2">
      <c r="A858" t="s">
        <v>2341</v>
      </c>
      <c r="B858" t="s">
        <v>2101</v>
      </c>
      <c r="C858" t="s">
        <v>2102</v>
      </c>
      <c r="D858" t="s">
        <v>2103</v>
      </c>
    </row>
    <row r="859" spans="1:4" x14ac:dyDescent="0.2">
      <c r="A859" t="s">
        <v>2341</v>
      </c>
      <c r="B859" t="s">
        <v>2104</v>
      </c>
      <c r="C859" t="s">
        <v>2105</v>
      </c>
      <c r="D859" t="s">
        <v>2106</v>
      </c>
    </row>
    <row r="860" spans="1:4" x14ac:dyDescent="0.2">
      <c r="A860" t="s">
        <v>2341</v>
      </c>
      <c r="B860" t="s">
        <v>2107</v>
      </c>
      <c r="C860" t="s">
        <v>2108</v>
      </c>
      <c r="D860" t="s">
        <v>2109</v>
      </c>
    </row>
    <row r="861" spans="1:4" x14ac:dyDescent="0.2">
      <c r="A861" t="s">
        <v>2341</v>
      </c>
      <c r="B861" t="s">
        <v>2110</v>
      </c>
      <c r="C861" t="s">
        <v>2111</v>
      </c>
      <c r="D861" t="s">
        <v>2112</v>
      </c>
    </row>
    <row r="862" spans="1:4" x14ac:dyDescent="0.2">
      <c r="A862" t="s">
        <v>2341</v>
      </c>
      <c r="B862" t="s">
        <v>2113</v>
      </c>
      <c r="C862" t="s">
        <v>2114</v>
      </c>
      <c r="D862" t="s">
        <v>2115</v>
      </c>
    </row>
    <row r="863" spans="1:4" x14ac:dyDescent="0.2">
      <c r="A863" t="s">
        <v>2341</v>
      </c>
      <c r="B863" t="s">
        <v>2116</v>
      </c>
      <c r="C863" t="s">
        <v>2117</v>
      </c>
      <c r="D863" t="s">
        <v>2118</v>
      </c>
    </row>
    <row r="864" spans="1:4" x14ac:dyDescent="0.2">
      <c r="A864" t="s">
        <v>2341</v>
      </c>
      <c r="B864" t="s">
        <v>2119</v>
      </c>
      <c r="C864" t="s">
        <v>2120</v>
      </c>
      <c r="D864" t="s">
        <v>2121</v>
      </c>
    </row>
    <row r="865" spans="1:4" x14ac:dyDescent="0.2">
      <c r="A865" t="s">
        <v>2341</v>
      </c>
      <c r="B865" t="s">
        <v>2122</v>
      </c>
      <c r="C865" t="s">
        <v>2123</v>
      </c>
      <c r="D865" t="s">
        <v>2124</v>
      </c>
    </row>
    <row r="866" spans="1:4" x14ac:dyDescent="0.2">
      <c r="A866" t="s">
        <v>2341</v>
      </c>
      <c r="B866" t="s">
        <v>2125</v>
      </c>
      <c r="C866" t="s">
        <v>2126</v>
      </c>
      <c r="D866" t="s">
        <v>2126</v>
      </c>
    </row>
    <row r="867" spans="1:4" x14ac:dyDescent="0.2">
      <c r="A867" t="s">
        <v>2341</v>
      </c>
      <c r="B867" t="s">
        <v>2127</v>
      </c>
      <c r="C867" t="s">
        <v>2128</v>
      </c>
      <c r="D867" t="s">
        <v>2129</v>
      </c>
    </row>
    <row r="868" spans="1:4" x14ac:dyDescent="0.2">
      <c r="A868" t="s">
        <v>2341</v>
      </c>
      <c r="B868" t="s">
        <v>2130</v>
      </c>
      <c r="C868" t="s">
        <v>2131</v>
      </c>
      <c r="D868" t="s">
        <v>2132</v>
      </c>
    </row>
    <row r="869" spans="1:4" x14ac:dyDescent="0.2">
      <c r="A869" t="s">
        <v>2341</v>
      </c>
      <c r="B869" t="s">
        <v>2133</v>
      </c>
      <c r="C869" t="s">
        <v>2134</v>
      </c>
      <c r="D869" t="s">
        <v>2135</v>
      </c>
    </row>
    <row r="870" spans="1:4" x14ac:dyDescent="0.2">
      <c r="A870" t="s">
        <v>2341</v>
      </c>
      <c r="B870" t="s">
        <v>2136</v>
      </c>
      <c r="C870" t="s">
        <v>2137</v>
      </c>
      <c r="D870" t="s">
        <v>2138</v>
      </c>
    </row>
    <row r="871" spans="1:4" x14ac:dyDescent="0.2">
      <c r="A871" t="s">
        <v>2341</v>
      </c>
      <c r="B871" t="s">
        <v>2139</v>
      </c>
      <c r="C871" t="s">
        <v>2140</v>
      </c>
      <c r="D871" t="s">
        <v>2141</v>
      </c>
    </row>
    <row r="872" spans="1:4" x14ac:dyDescent="0.2">
      <c r="A872" t="s">
        <v>2341</v>
      </c>
      <c r="B872" t="s">
        <v>2142</v>
      </c>
      <c r="C872" t="s">
        <v>2143</v>
      </c>
      <c r="D872" t="s">
        <v>2144</v>
      </c>
    </row>
    <row r="873" spans="1:4" x14ac:dyDescent="0.2">
      <c r="A873" t="s">
        <v>2341</v>
      </c>
      <c r="B873" t="s">
        <v>2145</v>
      </c>
      <c r="C873" t="s">
        <v>2146</v>
      </c>
      <c r="D873" t="s">
        <v>2144</v>
      </c>
    </row>
    <row r="874" spans="1:4" x14ac:dyDescent="0.2">
      <c r="A874" t="s">
        <v>2341</v>
      </c>
      <c r="B874" t="s">
        <v>2147</v>
      </c>
      <c r="C874" t="s">
        <v>2148</v>
      </c>
      <c r="D874" t="s">
        <v>2149</v>
      </c>
    </row>
    <row r="875" spans="1:4" x14ac:dyDescent="0.2">
      <c r="A875" t="s">
        <v>2341</v>
      </c>
      <c r="B875" t="s">
        <v>2150</v>
      </c>
      <c r="C875" t="s">
        <v>2151</v>
      </c>
      <c r="D875" t="s">
        <v>2152</v>
      </c>
    </row>
    <row r="876" spans="1:4" x14ac:dyDescent="0.2">
      <c r="A876" t="s">
        <v>2341</v>
      </c>
      <c r="B876" t="s">
        <v>2153</v>
      </c>
      <c r="C876" t="s">
        <v>2154</v>
      </c>
      <c r="D876" t="s">
        <v>2155</v>
      </c>
    </row>
    <row r="877" spans="1:4" x14ac:dyDescent="0.2">
      <c r="A877" t="s">
        <v>2341</v>
      </c>
      <c r="B877" t="s">
        <v>2156</v>
      </c>
      <c r="C877" t="s">
        <v>2157</v>
      </c>
      <c r="D877" t="s">
        <v>2158</v>
      </c>
    </row>
    <row r="878" spans="1:4" x14ac:dyDescent="0.2">
      <c r="A878" t="s">
        <v>2341</v>
      </c>
      <c r="B878" t="s">
        <v>2159</v>
      </c>
      <c r="C878" t="s">
        <v>2160</v>
      </c>
      <c r="D878" t="s">
        <v>2161</v>
      </c>
    </row>
    <row r="879" spans="1:4" x14ac:dyDescent="0.2">
      <c r="A879" t="s">
        <v>2341</v>
      </c>
      <c r="B879" t="s">
        <v>2162</v>
      </c>
      <c r="C879" t="s">
        <v>2163</v>
      </c>
      <c r="D879" t="s">
        <v>2164</v>
      </c>
    </row>
    <row r="880" spans="1:4" x14ac:dyDescent="0.2">
      <c r="A880" t="s">
        <v>2341</v>
      </c>
      <c r="B880" t="s">
        <v>2165</v>
      </c>
      <c r="C880" t="s">
        <v>2166</v>
      </c>
      <c r="D880" t="s">
        <v>2167</v>
      </c>
    </row>
    <row r="881" spans="1:4" x14ac:dyDescent="0.2">
      <c r="A881" t="s">
        <v>2341</v>
      </c>
      <c r="B881" t="s">
        <v>2168</v>
      </c>
      <c r="C881" t="s">
        <v>2169</v>
      </c>
      <c r="D881" t="s">
        <v>2169</v>
      </c>
    </row>
    <row r="882" spans="1:4" x14ac:dyDescent="0.2">
      <c r="A882" t="s">
        <v>2341</v>
      </c>
      <c r="B882" t="s">
        <v>2170</v>
      </c>
      <c r="C882" t="s">
        <v>2171</v>
      </c>
      <c r="D882" t="s">
        <v>2172</v>
      </c>
    </row>
    <row r="883" spans="1:4" x14ac:dyDescent="0.2">
      <c r="A883" t="s">
        <v>2341</v>
      </c>
      <c r="B883" t="s">
        <v>2173</v>
      </c>
      <c r="C883" t="s">
        <v>2174</v>
      </c>
      <c r="D883" t="s">
        <v>2175</v>
      </c>
    </row>
    <row r="884" spans="1:4" x14ac:dyDescent="0.2">
      <c r="A884" t="s">
        <v>2341</v>
      </c>
      <c r="B884" t="s">
        <v>2176</v>
      </c>
      <c r="C884" t="s">
        <v>2177</v>
      </c>
      <c r="D884" t="s">
        <v>2178</v>
      </c>
    </row>
    <row r="885" spans="1:4" x14ac:dyDescent="0.2">
      <c r="A885" t="s">
        <v>2341</v>
      </c>
      <c r="B885" t="s">
        <v>2179</v>
      </c>
      <c r="C885" t="s">
        <v>2180</v>
      </c>
      <c r="D885" t="s">
        <v>2181</v>
      </c>
    </row>
    <row r="886" spans="1:4" x14ac:dyDescent="0.2">
      <c r="A886" t="s">
        <v>2341</v>
      </c>
      <c r="B886" t="s">
        <v>2182</v>
      </c>
      <c r="C886" t="s">
        <v>2183</v>
      </c>
      <c r="D886" t="s">
        <v>2184</v>
      </c>
    </row>
    <row r="887" spans="1:4" x14ac:dyDescent="0.2">
      <c r="A887" t="s">
        <v>2341</v>
      </c>
      <c r="B887" t="s">
        <v>2185</v>
      </c>
      <c r="C887" t="s">
        <v>2186</v>
      </c>
      <c r="D887" t="s">
        <v>2187</v>
      </c>
    </row>
    <row r="888" spans="1:4" x14ac:dyDescent="0.2">
      <c r="A888" t="s">
        <v>2341</v>
      </c>
      <c r="B888" t="s">
        <v>2188</v>
      </c>
      <c r="C888" t="s">
        <v>2189</v>
      </c>
      <c r="D888" t="s">
        <v>2190</v>
      </c>
    </row>
    <row r="889" spans="1:4" x14ac:dyDescent="0.2">
      <c r="A889" t="s">
        <v>2341</v>
      </c>
      <c r="B889" t="s">
        <v>2191</v>
      </c>
      <c r="C889" t="s">
        <v>2192</v>
      </c>
      <c r="D889" t="s">
        <v>2193</v>
      </c>
    </row>
    <row r="890" spans="1:4" x14ac:dyDescent="0.2">
      <c r="A890" t="s">
        <v>2341</v>
      </c>
      <c r="B890" t="s">
        <v>2194</v>
      </c>
      <c r="C890" t="s">
        <v>2195</v>
      </c>
      <c r="D890" t="s">
        <v>2196</v>
      </c>
    </row>
    <row r="891" spans="1:4" x14ac:dyDescent="0.2">
      <c r="A891" t="s">
        <v>2341</v>
      </c>
      <c r="B891" t="s">
        <v>2197</v>
      </c>
      <c r="C891" t="s">
        <v>2198</v>
      </c>
      <c r="D891" t="s">
        <v>2199</v>
      </c>
    </row>
    <row r="892" spans="1:4" x14ac:dyDescent="0.2">
      <c r="A892" t="s">
        <v>2341</v>
      </c>
      <c r="B892" t="s">
        <v>2200</v>
      </c>
      <c r="C892" t="s">
        <v>2201</v>
      </c>
      <c r="D892" t="s">
        <v>2201</v>
      </c>
    </row>
    <row r="893" spans="1:4" x14ac:dyDescent="0.2">
      <c r="A893" t="s">
        <v>2341</v>
      </c>
      <c r="B893" t="s">
        <v>2202</v>
      </c>
      <c r="C893" t="s">
        <v>2203</v>
      </c>
      <c r="D893" t="s">
        <v>2204</v>
      </c>
    </row>
    <row r="894" spans="1:4" x14ac:dyDescent="0.2">
      <c r="A894" t="s">
        <v>2341</v>
      </c>
      <c r="B894" t="s">
        <v>2205</v>
      </c>
      <c r="C894" t="s">
        <v>2206</v>
      </c>
      <c r="D894" t="s">
        <v>2207</v>
      </c>
    </row>
    <row r="895" spans="1:4" x14ac:dyDescent="0.2">
      <c r="A895" t="s">
        <v>2341</v>
      </c>
      <c r="B895" t="s">
        <v>2208</v>
      </c>
      <c r="C895" t="s">
        <v>2209</v>
      </c>
      <c r="D895" t="s">
        <v>2210</v>
      </c>
    </row>
    <row r="896" spans="1:4" x14ac:dyDescent="0.2">
      <c r="A896" t="s">
        <v>2341</v>
      </c>
      <c r="B896" t="s">
        <v>2211</v>
      </c>
      <c r="C896" t="s">
        <v>2212</v>
      </c>
      <c r="D896" t="s">
        <v>2213</v>
      </c>
    </row>
    <row r="897" spans="1:4" x14ac:dyDescent="0.2">
      <c r="A897" t="s">
        <v>2341</v>
      </c>
      <c r="B897" t="s">
        <v>2214</v>
      </c>
      <c r="C897" t="s">
        <v>2215</v>
      </c>
      <c r="D897" t="s">
        <v>2216</v>
      </c>
    </row>
    <row r="898" spans="1:4" x14ac:dyDescent="0.2">
      <c r="A898" t="s">
        <v>2341</v>
      </c>
      <c r="B898" t="s">
        <v>2217</v>
      </c>
      <c r="C898" t="s">
        <v>2218</v>
      </c>
      <c r="D898" t="s">
        <v>2219</v>
      </c>
    </row>
    <row r="899" spans="1:4" x14ac:dyDescent="0.2">
      <c r="A899" t="s">
        <v>2341</v>
      </c>
      <c r="B899" t="s">
        <v>2220</v>
      </c>
      <c r="C899" t="s">
        <v>2221</v>
      </c>
      <c r="D899" t="s">
        <v>2222</v>
      </c>
    </row>
    <row r="900" spans="1:4" x14ac:dyDescent="0.2">
      <c r="A900" t="s">
        <v>2341</v>
      </c>
      <c r="B900" t="s">
        <v>2223</v>
      </c>
      <c r="C900" t="s">
        <v>2224</v>
      </c>
      <c r="D900" t="s">
        <v>2225</v>
      </c>
    </row>
    <row r="901" spans="1:4" x14ac:dyDescent="0.2">
      <c r="A901" t="s">
        <v>2341</v>
      </c>
      <c r="B901" t="s">
        <v>2226</v>
      </c>
      <c r="C901" t="s">
        <v>2227</v>
      </c>
      <c r="D901" t="s">
        <v>2228</v>
      </c>
    </row>
    <row r="902" spans="1:4" x14ac:dyDescent="0.2">
      <c r="A902" t="s">
        <v>2341</v>
      </c>
      <c r="B902" t="s">
        <v>2229</v>
      </c>
      <c r="C902" t="s">
        <v>2230</v>
      </c>
      <c r="D902" t="s">
        <v>2231</v>
      </c>
    </row>
    <row r="903" spans="1:4" x14ac:dyDescent="0.2">
      <c r="A903" t="s">
        <v>2341</v>
      </c>
      <c r="B903" t="s">
        <v>2232</v>
      </c>
      <c r="C903" t="s">
        <v>2233</v>
      </c>
      <c r="D903" t="s">
        <v>2234</v>
      </c>
    </row>
    <row r="904" spans="1:4" x14ac:dyDescent="0.2">
      <c r="A904" t="s">
        <v>2341</v>
      </c>
      <c r="B904" t="s">
        <v>2235</v>
      </c>
      <c r="C904" t="s">
        <v>2236</v>
      </c>
      <c r="D904" t="s">
        <v>2237</v>
      </c>
    </row>
    <row r="905" spans="1:4" x14ac:dyDescent="0.2">
      <c r="A905" t="s">
        <v>2341</v>
      </c>
      <c r="B905" t="s">
        <v>2238</v>
      </c>
      <c r="C905" t="s">
        <v>2239</v>
      </c>
      <c r="D905" t="s">
        <v>2240</v>
      </c>
    </row>
    <row r="906" spans="1:4" x14ac:dyDescent="0.2">
      <c r="A906" t="s">
        <v>2341</v>
      </c>
      <c r="B906" t="s">
        <v>2241</v>
      </c>
      <c r="C906" t="s">
        <v>2242</v>
      </c>
      <c r="D906" t="s">
        <v>2243</v>
      </c>
    </row>
    <row r="907" spans="1:4" x14ac:dyDescent="0.2">
      <c r="A907" t="s">
        <v>2341</v>
      </c>
      <c r="B907" t="s">
        <v>2244</v>
      </c>
      <c r="C907" t="s">
        <v>2245</v>
      </c>
      <c r="D907" t="s">
        <v>2246</v>
      </c>
    </row>
    <row r="908" spans="1:4" x14ac:dyDescent="0.2">
      <c r="A908" t="s">
        <v>2341</v>
      </c>
      <c r="B908" t="s">
        <v>2247</v>
      </c>
      <c r="C908" t="s">
        <v>2248</v>
      </c>
      <c r="D908" t="s">
        <v>2249</v>
      </c>
    </row>
    <row r="909" spans="1:4" x14ac:dyDescent="0.2">
      <c r="A909" t="s">
        <v>2341</v>
      </c>
      <c r="B909" t="s">
        <v>2250</v>
      </c>
      <c r="C909" t="s">
        <v>2251</v>
      </c>
      <c r="D909" t="s">
        <v>2252</v>
      </c>
    </row>
    <row r="910" spans="1:4" x14ac:dyDescent="0.2">
      <c r="A910" t="s">
        <v>2341</v>
      </c>
      <c r="B910" t="s">
        <v>2253</v>
      </c>
      <c r="C910" t="s">
        <v>2254</v>
      </c>
      <c r="D910" t="s">
        <v>2255</v>
      </c>
    </row>
    <row r="911" spans="1:4" x14ac:dyDescent="0.2">
      <c r="A911" t="s">
        <v>2341</v>
      </c>
      <c r="B911" t="s">
        <v>2256</v>
      </c>
      <c r="C911" t="s">
        <v>2257</v>
      </c>
      <c r="D911" t="s">
        <v>2257</v>
      </c>
    </row>
    <row r="912" spans="1:4" x14ac:dyDescent="0.2">
      <c r="A912" t="s">
        <v>2341</v>
      </c>
      <c r="B912" t="s">
        <v>2258</v>
      </c>
      <c r="C912" t="s">
        <v>2259</v>
      </c>
      <c r="D912" t="s">
        <v>2259</v>
      </c>
    </row>
    <row r="913" spans="1:4" x14ac:dyDescent="0.2">
      <c r="A913" t="s">
        <v>2341</v>
      </c>
      <c r="B913" t="s">
        <v>2260</v>
      </c>
      <c r="C913" t="s">
        <v>2261</v>
      </c>
      <c r="D913" t="s">
        <v>2262</v>
      </c>
    </row>
    <row r="914" spans="1:4" x14ac:dyDescent="0.2">
      <c r="A914" t="s">
        <v>2341</v>
      </c>
      <c r="B914" t="s">
        <v>2263</v>
      </c>
      <c r="C914" t="s">
        <v>2264</v>
      </c>
      <c r="D914" t="s">
        <v>2265</v>
      </c>
    </row>
    <row r="915" spans="1:4" x14ac:dyDescent="0.2">
      <c r="A915" t="s">
        <v>2341</v>
      </c>
      <c r="B915" t="s">
        <v>2266</v>
      </c>
      <c r="C915" t="s">
        <v>2267</v>
      </c>
      <c r="D915" t="s">
        <v>2268</v>
      </c>
    </row>
    <row r="916" spans="1:4" x14ac:dyDescent="0.2">
      <c r="A916" t="s">
        <v>2341</v>
      </c>
      <c r="B916" t="s">
        <v>2269</v>
      </c>
      <c r="C916" t="s">
        <v>2270</v>
      </c>
      <c r="D916" t="s">
        <v>2271</v>
      </c>
    </row>
    <row r="917" spans="1:4" x14ac:dyDescent="0.2">
      <c r="A917" t="s">
        <v>2341</v>
      </c>
      <c r="B917" t="s">
        <v>2272</v>
      </c>
      <c r="C917" t="s">
        <v>2273</v>
      </c>
      <c r="D917" t="s">
        <v>2274</v>
      </c>
    </row>
    <row r="918" spans="1:4" x14ac:dyDescent="0.2">
      <c r="A918" t="s">
        <v>2341</v>
      </c>
      <c r="B918" t="s">
        <v>2275</v>
      </c>
      <c r="C918" t="s">
        <v>2276</v>
      </c>
      <c r="D918" t="s">
        <v>2277</v>
      </c>
    </row>
    <row r="919" spans="1:4" x14ac:dyDescent="0.2">
      <c r="A919" t="s">
        <v>2341</v>
      </c>
      <c r="B919" t="s">
        <v>2278</v>
      </c>
      <c r="C919" t="s">
        <v>2279</v>
      </c>
      <c r="D919" t="s">
        <v>2280</v>
      </c>
    </row>
    <row r="920" spans="1:4" x14ac:dyDescent="0.2">
      <c r="A920" t="s">
        <v>2341</v>
      </c>
      <c r="B920" t="s">
        <v>2281</v>
      </c>
      <c r="C920" t="s">
        <v>2282</v>
      </c>
      <c r="D920" t="s">
        <v>2283</v>
      </c>
    </row>
    <row r="921" spans="1:4" x14ac:dyDescent="0.2">
      <c r="A921" t="s">
        <v>2341</v>
      </c>
      <c r="B921" t="s">
        <v>2284</v>
      </c>
      <c r="C921" t="s">
        <v>2285</v>
      </c>
      <c r="D921" t="s">
        <v>2286</v>
      </c>
    </row>
    <row r="922" spans="1:4" x14ac:dyDescent="0.2">
      <c r="A922" t="s">
        <v>2341</v>
      </c>
      <c r="B922" t="s">
        <v>2287</v>
      </c>
      <c r="C922" t="s">
        <v>2288</v>
      </c>
      <c r="D922" t="s">
        <v>2289</v>
      </c>
    </row>
    <row r="923" spans="1:4" x14ac:dyDescent="0.2">
      <c r="A923" t="s">
        <v>2341</v>
      </c>
      <c r="B923" t="s">
        <v>2290</v>
      </c>
      <c r="C923" t="s">
        <v>2291</v>
      </c>
      <c r="D923" t="s">
        <v>2292</v>
      </c>
    </row>
    <row r="924" spans="1:4" x14ac:dyDescent="0.2">
      <c r="A924" t="s">
        <v>2341</v>
      </c>
      <c r="B924" t="s">
        <v>2293</v>
      </c>
      <c r="C924" t="s">
        <v>2294</v>
      </c>
      <c r="D924" t="s">
        <v>2295</v>
      </c>
    </row>
    <row r="925" spans="1:4" x14ac:dyDescent="0.2">
      <c r="A925" t="s">
        <v>2341</v>
      </c>
      <c r="B925" t="s">
        <v>2296</v>
      </c>
      <c r="C925" t="s">
        <v>2297</v>
      </c>
      <c r="D925" t="s">
        <v>2298</v>
      </c>
    </row>
    <row r="926" spans="1:4" x14ac:dyDescent="0.2">
      <c r="A926" t="s">
        <v>2341</v>
      </c>
      <c r="B926" t="s">
        <v>2299</v>
      </c>
      <c r="C926" t="s">
        <v>2300</v>
      </c>
      <c r="D926" t="s">
        <v>2301</v>
      </c>
    </row>
    <row r="927" spans="1:4" x14ac:dyDescent="0.2">
      <c r="A927" t="s">
        <v>2341</v>
      </c>
      <c r="B927" t="s">
        <v>2302</v>
      </c>
      <c r="C927" t="s">
        <v>2303</v>
      </c>
      <c r="D927" t="s">
        <v>2304</v>
      </c>
    </row>
    <row r="928" spans="1:4" x14ac:dyDescent="0.2">
      <c r="A928" t="s">
        <v>2341</v>
      </c>
      <c r="B928" t="s">
        <v>2305</v>
      </c>
      <c r="C928" t="s">
        <v>2306</v>
      </c>
      <c r="D928" t="s">
        <v>2307</v>
      </c>
    </row>
    <row r="929" spans="1:4" x14ac:dyDescent="0.2">
      <c r="A929" t="s">
        <v>2341</v>
      </c>
      <c r="B929" t="s">
        <v>2308</v>
      </c>
      <c r="C929" t="s">
        <v>2309</v>
      </c>
      <c r="D929" t="s">
        <v>2310</v>
      </c>
    </row>
    <row r="930" spans="1:4" x14ac:dyDescent="0.2">
      <c r="A930" t="s">
        <v>2341</v>
      </c>
      <c r="B930" t="s">
        <v>2311</v>
      </c>
      <c r="C930" t="s">
        <v>2312</v>
      </c>
      <c r="D930" t="s">
        <v>2313</v>
      </c>
    </row>
    <row r="931" spans="1:4" x14ac:dyDescent="0.2">
      <c r="A931" t="s">
        <v>2341</v>
      </c>
      <c r="B931" t="s">
        <v>2314</v>
      </c>
      <c r="C931" t="s">
        <v>2315</v>
      </c>
      <c r="D931" t="s">
        <v>2316</v>
      </c>
    </row>
    <row r="932" spans="1:4" x14ac:dyDescent="0.2">
      <c r="A932" t="s">
        <v>2341</v>
      </c>
      <c r="B932" t="s">
        <v>2317</v>
      </c>
      <c r="C932" t="s">
        <v>2318</v>
      </c>
      <c r="D932" t="s">
        <v>2319</v>
      </c>
    </row>
    <row r="933" spans="1:4" x14ac:dyDescent="0.2">
      <c r="A933" t="s">
        <v>2341</v>
      </c>
      <c r="B933" t="s">
        <v>2320</v>
      </c>
      <c r="C933" t="s">
        <v>2321</v>
      </c>
      <c r="D933" t="s">
        <v>2322</v>
      </c>
    </row>
    <row r="934" spans="1:4" x14ac:dyDescent="0.2">
      <c r="A934" t="s">
        <v>2341</v>
      </c>
      <c r="B934" t="s">
        <v>2323</v>
      </c>
      <c r="C934" t="s">
        <v>2324</v>
      </c>
      <c r="D934" t="s">
        <v>2325</v>
      </c>
    </row>
    <row r="935" spans="1:4" x14ac:dyDescent="0.2">
      <c r="A935" t="s">
        <v>2341</v>
      </c>
      <c r="B935" t="s">
        <v>2326</v>
      </c>
      <c r="C935" t="s">
        <v>2327</v>
      </c>
      <c r="D935" t="s">
        <v>2328</v>
      </c>
    </row>
    <row r="936" spans="1:4" x14ac:dyDescent="0.2">
      <c r="A936" t="s">
        <v>2341</v>
      </c>
      <c r="B936" t="s">
        <v>2329</v>
      </c>
      <c r="C936" t="s">
        <v>2330</v>
      </c>
      <c r="D936" t="s">
        <v>2330</v>
      </c>
    </row>
    <row r="937" spans="1:4" x14ac:dyDescent="0.2">
      <c r="A937" t="s">
        <v>2341</v>
      </c>
      <c r="B937" t="s">
        <v>2331</v>
      </c>
      <c r="C937" t="s">
        <v>2332</v>
      </c>
      <c r="D937" t="s">
        <v>2333</v>
      </c>
    </row>
    <row r="938" spans="1:4" x14ac:dyDescent="0.2">
      <c r="A938" t="s">
        <v>2341</v>
      </c>
      <c r="B938" t="s">
        <v>2342</v>
      </c>
      <c r="C938" t="s">
        <v>2343</v>
      </c>
      <c r="D938" t="s">
        <v>2344</v>
      </c>
    </row>
    <row r="939" spans="1:4" x14ac:dyDescent="0.2">
      <c r="A939" t="s">
        <v>2341</v>
      </c>
      <c r="B939" t="s">
        <v>2337</v>
      </c>
      <c r="C939" t="s">
        <v>2042</v>
      </c>
      <c r="D939" t="s">
        <v>2338</v>
      </c>
    </row>
    <row r="940" spans="1:4" x14ac:dyDescent="0.2">
      <c r="A940" t="s">
        <v>2341</v>
      </c>
      <c r="B940" t="s">
        <v>2339</v>
      </c>
      <c r="C940" t="s">
        <v>2043</v>
      </c>
      <c r="D940" t="s">
        <v>2340</v>
      </c>
    </row>
    <row r="942" spans="1:4" x14ac:dyDescent="0.2">
      <c r="A942" t="s">
        <v>2345</v>
      </c>
      <c r="B942" t="s">
        <v>2071</v>
      </c>
      <c r="C942" t="s">
        <v>2072</v>
      </c>
      <c r="D942" t="s">
        <v>2073</v>
      </c>
    </row>
    <row r="943" spans="1:4" x14ac:dyDescent="0.2">
      <c r="A943" t="s">
        <v>2345</v>
      </c>
      <c r="B943" t="s">
        <v>2074</v>
      </c>
      <c r="C943" t="s">
        <v>2075</v>
      </c>
      <c r="D943" t="s">
        <v>2076</v>
      </c>
    </row>
    <row r="944" spans="1:4" x14ac:dyDescent="0.2">
      <c r="A944" t="s">
        <v>2345</v>
      </c>
      <c r="B944" t="s">
        <v>2077</v>
      </c>
      <c r="C944" t="s">
        <v>2078</v>
      </c>
      <c r="D944" t="s">
        <v>2079</v>
      </c>
    </row>
    <row r="945" spans="1:4" x14ac:dyDescent="0.2">
      <c r="A945" t="s">
        <v>2345</v>
      </c>
      <c r="B945" t="s">
        <v>2080</v>
      </c>
      <c r="C945" t="s">
        <v>2081</v>
      </c>
      <c r="D945" t="s">
        <v>2082</v>
      </c>
    </row>
    <row r="946" spans="1:4" x14ac:dyDescent="0.2">
      <c r="A946" t="s">
        <v>2345</v>
      </c>
      <c r="B946" t="s">
        <v>2083</v>
      </c>
      <c r="C946" t="s">
        <v>2084</v>
      </c>
      <c r="D946" t="s">
        <v>2085</v>
      </c>
    </row>
    <row r="947" spans="1:4" x14ac:dyDescent="0.2">
      <c r="A947" t="s">
        <v>2345</v>
      </c>
      <c r="B947" t="s">
        <v>2086</v>
      </c>
      <c r="C947" t="s">
        <v>2087</v>
      </c>
      <c r="D947" t="s">
        <v>2088</v>
      </c>
    </row>
    <row r="948" spans="1:4" x14ac:dyDescent="0.2">
      <c r="A948" t="s">
        <v>2345</v>
      </c>
      <c r="B948" t="s">
        <v>2089</v>
      </c>
      <c r="C948" t="s">
        <v>2090</v>
      </c>
      <c r="D948" t="s">
        <v>2091</v>
      </c>
    </row>
    <row r="949" spans="1:4" x14ac:dyDescent="0.2">
      <c r="A949" t="s">
        <v>2345</v>
      </c>
      <c r="B949" t="s">
        <v>2092</v>
      </c>
      <c r="C949" t="s">
        <v>2093</v>
      </c>
      <c r="D949" t="s">
        <v>2094</v>
      </c>
    </row>
    <row r="950" spans="1:4" x14ac:dyDescent="0.2">
      <c r="A950" t="s">
        <v>2345</v>
      </c>
      <c r="B950" t="s">
        <v>2095</v>
      </c>
      <c r="C950" t="s">
        <v>2096</v>
      </c>
      <c r="D950" t="s">
        <v>2097</v>
      </c>
    </row>
    <row r="951" spans="1:4" x14ac:dyDescent="0.2">
      <c r="A951" t="s">
        <v>2345</v>
      </c>
      <c r="B951" t="s">
        <v>2098</v>
      </c>
      <c r="C951" t="s">
        <v>2099</v>
      </c>
      <c r="D951" t="s">
        <v>2100</v>
      </c>
    </row>
    <row r="952" spans="1:4" x14ac:dyDescent="0.2">
      <c r="A952" t="s">
        <v>2345</v>
      </c>
      <c r="B952" t="s">
        <v>2101</v>
      </c>
      <c r="C952" t="s">
        <v>2102</v>
      </c>
      <c r="D952" t="s">
        <v>2103</v>
      </c>
    </row>
    <row r="953" spans="1:4" x14ac:dyDescent="0.2">
      <c r="A953" t="s">
        <v>2345</v>
      </c>
      <c r="B953" t="s">
        <v>2104</v>
      </c>
      <c r="C953" t="s">
        <v>2105</v>
      </c>
      <c r="D953" t="s">
        <v>2106</v>
      </c>
    </row>
    <row r="954" spans="1:4" x14ac:dyDescent="0.2">
      <c r="A954" t="s">
        <v>2345</v>
      </c>
      <c r="B954" t="s">
        <v>2107</v>
      </c>
      <c r="C954" t="s">
        <v>2108</v>
      </c>
      <c r="D954" t="s">
        <v>2109</v>
      </c>
    </row>
    <row r="955" spans="1:4" x14ac:dyDescent="0.2">
      <c r="A955" t="s">
        <v>2345</v>
      </c>
      <c r="B955" t="s">
        <v>2110</v>
      </c>
      <c r="C955" t="s">
        <v>2111</v>
      </c>
      <c r="D955" t="s">
        <v>2112</v>
      </c>
    </row>
    <row r="956" spans="1:4" x14ac:dyDescent="0.2">
      <c r="A956" t="s">
        <v>2345</v>
      </c>
      <c r="B956" t="s">
        <v>2113</v>
      </c>
      <c r="C956" t="s">
        <v>2114</v>
      </c>
      <c r="D956" t="s">
        <v>2115</v>
      </c>
    </row>
    <row r="957" spans="1:4" x14ac:dyDescent="0.2">
      <c r="A957" t="s">
        <v>2345</v>
      </c>
      <c r="B957" t="s">
        <v>2116</v>
      </c>
      <c r="C957" t="s">
        <v>2117</v>
      </c>
      <c r="D957" t="s">
        <v>2118</v>
      </c>
    </row>
    <row r="958" spans="1:4" x14ac:dyDescent="0.2">
      <c r="A958" t="s">
        <v>2345</v>
      </c>
      <c r="B958" t="s">
        <v>2119</v>
      </c>
      <c r="C958" t="s">
        <v>2120</v>
      </c>
      <c r="D958" t="s">
        <v>2121</v>
      </c>
    </row>
    <row r="959" spans="1:4" x14ac:dyDescent="0.2">
      <c r="A959" t="s">
        <v>2345</v>
      </c>
      <c r="B959" t="s">
        <v>2122</v>
      </c>
      <c r="C959" t="s">
        <v>2123</v>
      </c>
      <c r="D959" t="s">
        <v>2124</v>
      </c>
    </row>
    <row r="960" spans="1:4" x14ac:dyDescent="0.2">
      <c r="A960" t="s">
        <v>2345</v>
      </c>
      <c r="B960" t="s">
        <v>2125</v>
      </c>
      <c r="C960" t="s">
        <v>2126</v>
      </c>
      <c r="D960" t="s">
        <v>2126</v>
      </c>
    </row>
    <row r="961" spans="1:4" x14ac:dyDescent="0.2">
      <c r="A961" t="s">
        <v>2345</v>
      </c>
      <c r="B961" t="s">
        <v>2127</v>
      </c>
      <c r="C961" t="s">
        <v>2128</v>
      </c>
      <c r="D961" t="s">
        <v>2129</v>
      </c>
    </row>
    <row r="962" spans="1:4" x14ac:dyDescent="0.2">
      <c r="A962" t="s">
        <v>2345</v>
      </c>
      <c r="B962" t="s">
        <v>2130</v>
      </c>
      <c r="C962" t="s">
        <v>2131</v>
      </c>
      <c r="D962" t="s">
        <v>2132</v>
      </c>
    </row>
    <row r="963" spans="1:4" x14ac:dyDescent="0.2">
      <c r="A963" t="s">
        <v>2345</v>
      </c>
      <c r="B963" t="s">
        <v>2133</v>
      </c>
      <c r="C963" t="s">
        <v>2134</v>
      </c>
      <c r="D963" t="s">
        <v>2135</v>
      </c>
    </row>
    <row r="964" spans="1:4" x14ac:dyDescent="0.2">
      <c r="A964" t="s">
        <v>2345</v>
      </c>
      <c r="B964" t="s">
        <v>2136</v>
      </c>
      <c r="C964" t="s">
        <v>2137</v>
      </c>
      <c r="D964" t="s">
        <v>2138</v>
      </c>
    </row>
    <row r="965" spans="1:4" x14ac:dyDescent="0.2">
      <c r="A965" t="s">
        <v>2345</v>
      </c>
      <c r="B965" t="s">
        <v>2139</v>
      </c>
      <c r="C965" t="s">
        <v>2140</v>
      </c>
      <c r="D965" t="s">
        <v>2141</v>
      </c>
    </row>
    <row r="966" spans="1:4" x14ac:dyDescent="0.2">
      <c r="A966" t="s">
        <v>2345</v>
      </c>
      <c r="B966" t="s">
        <v>2142</v>
      </c>
      <c r="C966" t="s">
        <v>2143</v>
      </c>
      <c r="D966" t="s">
        <v>2144</v>
      </c>
    </row>
    <row r="967" spans="1:4" x14ac:dyDescent="0.2">
      <c r="A967" t="s">
        <v>2345</v>
      </c>
      <c r="B967" t="s">
        <v>2145</v>
      </c>
      <c r="C967" t="s">
        <v>2146</v>
      </c>
      <c r="D967" t="s">
        <v>2144</v>
      </c>
    </row>
    <row r="968" spans="1:4" x14ac:dyDescent="0.2">
      <c r="A968" t="s">
        <v>2345</v>
      </c>
      <c r="B968" t="s">
        <v>2147</v>
      </c>
      <c r="C968" t="s">
        <v>2148</v>
      </c>
      <c r="D968" t="s">
        <v>2149</v>
      </c>
    </row>
    <row r="969" spans="1:4" x14ac:dyDescent="0.2">
      <c r="A969" t="s">
        <v>2345</v>
      </c>
      <c r="B969" t="s">
        <v>2150</v>
      </c>
      <c r="C969" t="s">
        <v>2151</v>
      </c>
      <c r="D969" t="s">
        <v>2152</v>
      </c>
    </row>
    <row r="970" spans="1:4" x14ac:dyDescent="0.2">
      <c r="A970" t="s">
        <v>2345</v>
      </c>
      <c r="B970" t="s">
        <v>2153</v>
      </c>
      <c r="C970" t="s">
        <v>2154</v>
      </c>
      <c r="D970" t="s">
        <v>2155</v>
      </c>
    </row>
    <row r="971" spans="1:4" x14ac:dyDescent="0.2">
      <c r="A971" t="s">
        <v>2345</v>
      </c>
      <c r="B971" t="s">
        <v>2156</v>
      </c>
      <c r="C971" t="s">
        <v>2157</v>
      </c>
      <c r="D971" t="s">
        <v>2158</v>
      </c>
    </row>
    <row r="972" spans="1:4" x14ac:dyDescent="0.2">
      <c r="A972" t="s">
        <v>2345</v>
      </c>
      <c r="B972" t="s">
        <v>2159</v>
      </c>
      <c r="C972" t="s">
        <v>2160</v>
      </c>
      <c r="D972" t="s">
        <v>2161</v>
      </c>
    </row>
    <row r="973" spans="1:4" x14ac:dyDescent="0.2">
      <c r="A973" t="s">
        <v>2345</v>
      </c>
      <c r="B973" t="s">
        <v>2162</v>
      </c>
      <c r="C973" t="s">
        <v>2163</v>
      </c>
      <c r="D973" t="s">
        <v>2164</v>
      </c>
    </row>
    <row r="974" spans="1:4" x14ac:dyDescent="0.2">
      <c r="A974" t="s">
        <v>2345</v>
      </c>
      <c r="B974" t="s">
        <v>2165</v>
      </c>
      <c r="C974" t="s">
        <v>2166</v>
      </c>
      <c r="D974" t="s">
        <v>2167</v>
      </c>
    </row>
    <row r="975" spans="1:4" x14ac:dyDescent="0.2">
      <c r="A975" t="s">
        <v>2345</v>
      </c>
      <c r="B975" t="s">
        <v>2168</v>
      </c>
      <c r="C975" t="s">
        <v>2169</v>
      </c>
      <c r="D975" t="s">
        <v>2169</v>
      </c>
    </row>
    <row r="976" spans="1:4" x14ac:dyDescent="0.2">
      <c r="A976" t="s">
        <v>2345</v>
      </c>
      <c r="B976" t="s">
        <v>2170</v>
      </c>
      <c r="C976" t="s">
        <v>2171</v>
      </c>
      <c r="D976" t="s">
        <v>2172</v>
      </c>
    </row>
    <row r="977" spans="1:4" x14ac:dyDescent="0.2">
      <c r="A977" t="s">
        <v>2345</v>
      </c>
      <c r="B977" t="s">
        <v>2173</v>
      </c>
      <c r="C977" t="s">
        <v>2174</v>
      </c>
      <c r="D977" t="s">
        <v>2175</v>
      </c>
    </row>
    <row r="978" spans="1:4" x14ac:dyDescent="0.2">
      <c r="A978" t="s">
        <v>2345</v>
      </c>
      <c r="B978" t="s">
        <v>2176</v>
      </c>
      <c r="C978" t="s">
        <v>2177</v>
      </c>
      <c r="D978" t="s">
        <v>2178</v>
      </c>
    </row>
    <row r="979" spans="1:4" x14ac:dyDescent="0.2">
      <c r="A979" t="s">
        <v>2345</v>
      </c>
      <c r="B979" t="s">
        <v>2179</v>
      </c>
      <c r="C979" t="s">
        <v>2180</v>
      </c>
      <c r="D979" t="s">
        <v>2181</v>
      </c>
    </row>
    <row r="980" spans="1:4" x14ac:dyDescent="0.2">
      <c r="A980" t="s">
        <v>2345</v>
      </c>
      <c r="B980" t="s">
        <v>2182</v>
      </c>
      <c r="C980" t="s">
        <v>2183</v>
      </c>
      <c r="D980" t="s">
        <v>2184</v>
      </c>
    </row>
    <row r="981" spans="1:4" x14ac:dyDescent="0.2">
      <c r="A981" t="s">
        <v>2345</v>
      </c>
      <c r="B981" t="s">
        <v>2185</v>
      </c>
      <c r="C981" t="s">
        <v>2186</v>
      </c>
      <c r="D981" t="s">
        <v>2187</v>
      </c>
    </row>
    <row r="982" spans="1:4" x14ac:dyDescent="0.2">
      <c r="A982" t="s">
        <v>2345</v>
      </c>
      <c r="B982" t="s">
        <v>2188</v>
      </c>
      <c r="C982" t="s">
        <v>2189</v>
      </c>
      <c r="D982" t="s">
        <v>2190</v>
      </c>
    </row>
    <row r="983" spans="1:4" x14ac:dyDescent="0.2">
      <c r="A983" t="s">
        <v>2345</v>
      </c>
      <c r="B983" t="s">
        <v>2191</v>
      </c>
      <c r="C983" t="s">
        <v>2192</v>
      </c>
      <c r="D983" t="s">
        <v>2193</v>
      </c>
    </row>
    <row r="984" spans="1:4" x14ac:dyDescent="0.2">
      <c r="A984" t="s">
        <v>2345</v>
      </c>
      <c r="B984" t="s">
        <v>2194</v>
      </c>
      <c r="C984" t="s">
        <v>2195</v>
      </c>
      <c r="D984" t="s">
        <v>2196</v>
      </c>
    </row>
    <row r="985" spans="1:4" x14ac:dyDescent="0.2">
      <c r="A985" t="s">
        <v>2345</v>
      </c>
      <c r="B985" t="s">
        <v>2197</v>
      </c>
      <c r="C985" t="s">
        <v>2198</v>
      </c>
      <c r="D985" t="s">
        <v>2199</v>
      </c>
    </row>
    <row r="986" spans="1:4" x14ac:dyDescent="0.2">
      <c r="A986" t="s">
        <v>2345</v>
      </c>
      <c r="B986" t="s">
        <v>2200</v>
      </c>
      <c r="C986" t="s">
        <v>2201</v>
      </c>
      <c r="D986" t="s">
        <v>2201</v>
      </c>
    </row>
    <row r="987" spans="1:4" x14ac:dyDescent="0.2">
      <c r="A987" t="s">
        <v>2345</v>
      </c>
      <c r="B987" t="s">
        <v>2202</v>
      </c>
      <c r="C987" t="s">
        <v>2203</v>
      </c>
      <c r="D987" t="s">
        <v>2204</v>
      </c>
    </row>
    <row r="988" spans="1:4" x14ac:dyDescent="0.2">
      <c r="A988" t="s">
        <v>2345</v>
      </c>
      <c r="B988" t="s">
        <v>2205</v>
      </c>
      <c r="C988" t="s">
        <v>2206</v>
      </c>
      <c r="D988" t="s">
        <v>2207</v>
      </c>
    </row>
    <row r="989" spans="1:4" x14ac:dyDescent="0.2">
      <c r="A989" t="s">
        <v>2345</v>
      </c>
      <c r="B989" t="s">
        <v>2208</v>
      </c>
      <c r="C989" t="s">
        <v>2209</v>
      </c>
      <c r="D989" t="s">
        <v>2210</v>
      </c>
    </row>
    <row r="990" spans="1:4" x14ac:dyDescent="0.2">
      <c r="A990" t="s">
        <v>2345</v>
      </c>
      <c r="B990" t="s">
        <v>2211</v>
      </c>
      <c r="C990" t="s">
        <v>2212</v>
      </c>
      <c r="D990" t="s">
        <v>2213</v>
      </c>
    </row>
    <row r="991" spans="1:4" x14ac:dyDescent="0.2">
      <c r="A991" t="s">
        <v>2345</v>
      </c>
      <c r="B991" t="s">
        <v>2214</v>
      </c>
      <c r="C991" t="s">
        <v>2215</v>
      </c>
      <c r="D991" t="s">
        <v>2216</v>
      </c>
    </row>
    <row r="992" spans="1:4" x14ac:dyDescent="0.2">
      <c r="A992" t="s">
        <v>2345</v>
      </c>
      <c r="B992" t="s">
        <v>2217</v>
      </c>
      <c r="C992" t="s">
        <v>2218</v>
      </c>
      <c r="D992" t="s">
        <v>2219</v>
      </c>
    </row>
    <row r="993" spans="1:4" x14ac:dyDescent="0.2">
      <c r="A993" t="s">
        <v>2345</v>
      </c>
      <c r="B993" t="s">
        <v>2220</v>
      </c>
      <c r="C993" t="s">
        <v>2221</v>
      </c>
      <c r="D993" t="s">
        <v>2222</v>
      </c>
    </row>
    <row r="994" spans="1:4" x14ac:dyDescent="0.2">
      <c r="A994" t="s">
        <v>2345</v>
      </c>
      <c r="B994" t="s">
        <v>2223</v>
      </c>
      <c r="C994" t="s">
        <v>2224</v>
      </c>
      <c r="D994" t="s">
        <v>2225</v>
      </c>
    </row>
    <row r="995" spans="1:4" x14ac:dyDescent="0.2">
      <c r="A995" t="s">
        <v>2345</v>
      </c>
      <c r="B995" t="s">
        <v>2226</v>
      </c>
      <c r="C995" t="s">
        <v>2227</v>
      </c>
      <c r="D995" t="s">
        <v>2228</v>
      </c>
    </row>
    <row r="996" spans="1:4" x14ac:dyDescent="0.2">
      <c r="A996" t="s">
        <v>2345</v>
      </c>
      <c r="B996" t="s">
        <v>2229</v>
      </c>
      <c r="C996" t="s">
        <v>2230</v>
      </c>
      <c r="D996" t="s">
        <v>2231</v>
      </c>
    </row>
    <row r="997" spans="1:4" x14ac:dyDescent="0.2">
      <c r="A997" t="s">
        <v>2345</v>
      </c>
      <c r="B997" t="s">
        <v>2232</v>
      </c>
      <c r="C997" t="s">
        <v>2233</v>
      </c>
      <c r="D997" t="s">
        <v>2234</v>
      </c>
    </row>
    <row r="998" spans="1:4" x14ac:dyDescent="0.2">
      <c r="A998" t="s">
        <v>2345</v>
      </c>
      <c r="B998" t="s">
        <v>2235</v>
      </c>
      <c r="C998" t="s">
        <v>2236</v>
      </c>
      <c r="D998" t="s">
        <v>2237</v>
      </c>
    </row>
    <row r="999" spans="1:4" x14ac:dyDescent="0.2">
      <c r="A999" t="s">
        <v>2345</v>
      </c>
      <c r="B999" t="s">
        <v>2238</v>
      </c>
      <c r="C999" t="s">
        <v>2239</v>
      </c>
      <c r="D999" t="s">
        <v>2240</v>
      </c>
    </row>
    <row r="1000" spans="1:4" x14ac:dyDescent="0.2">
      <c r="A1000" t="s">
        <v>2345</v>
      </c>
      <c r="B1000" t="s">
        <v>2241</v>
      </c>
      <c r="C1000" t="s">
        <v>2242</v>
      </c>
      <c r="D1000" t="s">
        <v>2243</v>
      </c>
    </row>
    <row r="1001" spans="1:4" x14ac:dyDescent="0.2">
      <c r="A1001" t="s">
        <v>2345</v>
      </c>
      <c r="B1001" t="s">
        <v>2244</v>
      </c>
      <c r="C1001" t="s">
        <v>2245</v>
      </c>
      <c r="D1001" t="s">
        <v>2246</v>
      </c>
    </row>
    <row r="1002" spans="1:4" x14ac:dyDescent="0.2">
      <c r="A1002" t="s">
        <v>2345</v>
      </c>
      <c r="B1002" t="s">
        <v>2247</v>
      </c>
      <c r="C1002" t="s">
        <v>2248</v>
      </c>
      <c r="D1002" t="s">
        <v>2249</v>
      </c>
    </row>
    <row r="1003" spans="1:4" x14ac:dyDescent="0.2">
      <c r="A1003" t="s">
        <v>2345</v>
      </c>
      <c r="B1003" t="s">
        <v>2250</v>
      </c>
      <c r="C1003" t="s">
        <v>2251</v>
      </c>
      <c r="D1003" t="s">
        <v>2252</v>
      </c>
    </row>
    <row r="1004" spans="1:4" x14ac:dyDescent="0.2">
      <c r="A1004" t="s">
        <v>2345</v>
      </c>
      <c r="B1004" t="s">
        <v>2253</v>
      </c>
      <c r="C1004" t="s">
        <v>2254</v>
      </c>
      <c r="D1004" t="s">
        <v>2255</v>
      </c>
    </row>
    <row r="1005" spans="1:4" x14ac:dyDescent="0.2">
      <c r="A1005" t="s">
        <v>2345</v>
      </c>
      <c r="B1005" t="s">
        <v>2256</v>
      </c>
      <c r="C1005" t="s">
        <v>2257</v>
      </c>
      <c r="D1005" t="s">
        <v>2257</v>
      </c>
    </row>
    <row r="1006" spans="1:4" x14ac:dyDescent="0.2">
      <c r="A1006" t="s">
        <v>2345</v>
      </c>
      <c r="B1006" t="s">
        <v>2258</v>
      </c>
      <c r="C1006" t="s">
        <v>2259</v>
      </c>
      <c r="D1006" t="s">
        <v>2259</v>
      </c>
    </row>
    <row r="1007" spans="1:4" x14ac:dyDescent="0.2">
      <c r="A1007" t="s">
        <v>2345</v>
      </c>
      <c r="B1007" t="s">
        <v>2260</v>
      </c>
      <c r="C1007" t="s">
        <v>2261</v>
      </c>
      <c r="D1007" t="s">
        <v>2262</v>
      </c>
    </row>
    <row r="1008" spans="1:4" x14ac:dyDescent="0.2">
      <c r="A1008" t="s">
        <v>2345</v>
      </c>
      <c r="B1008" t="s">
        <v>2263</v>
      </c>
      <c r="C1008" t="s">
        <v>2264</v>
      </c>
      <c r="D1008" t="s">
        <v>2265</v>
      </c>
    </row>
    <row r="1009" spans="1:4" x14ac:dyDescent="0.2">
      <c r="A1009" t="s">
        <v>2345</v>
      </c>
      <c r="B1009" t="s">
        <v>2266</v>
      </c>
      <c r="C1009" t="s">
        <v>2267</v>
      </c>
      <c r="D1009" t="s">
        <v>2268</v>
      </c>
    </row>
    <row r="1010" spans="1:4" x14ac:dyDescent="0.2">
      <c r="A1010" t="s">
        <v>2345</v>
      </c>
      <c r="B1010" t="s">
        <v>2269</v>
      </c>
      <c r="C1010" t="s">
        <v>2270</v>
      </c>
      <c r="D1010" t="s">
        <v>2271</v>
      </c>
    </row>
    <row r="1011" spans="1:4" x14ac:dyDescent="0.2">
      <c r="A1011" t="s">
        <v>2345</v>
      </c>
      <c r="B1011" t="s">
        <v>2272</v>
      </c>
      <c r="C1011" t="s">
        <v>2273</v>
      </c>
      <c r="D1011" t="s">
        <v>2274</v>
      </c>
    </row>
    <row r="1012" spans="1:4" x14ac:dyDescent="0.2">
      <c r="A1012" t="s">
        <v>2345</v>
      </c>
      <c r="B1012" t="s">
        <v>2275</v>
      </c>
      <c r="C1012" t="s">
        <v>2276</v>
      </c>
      <c r="D1012" t="s">
        <v>2277</v>
      </c>
    </row>
    <row r="1013" spans="1:4" x14ac:dyDescent="0.2">
      <c r="A1013" t="s">
        <v>2345</v>
      </c>
      <c r="B1013" t="s">
        <v>2278</v>
      </c>
      <c r="C1013" t="s">
        <v>2279</v>
      </c>
      <c r="D1013" t="s">
        <v>2280</v>
      </c>
    </row>
    <row r="1014" spans="1:4" x14ac:dyDescent="0.2">
      <c r="A1014" t="s">
        <v>2345</v>
      </c>
      <c r="B1014" t="s">
        <v>2281</v>
      </c>
      <c r="C1014" t="s">
        <v>2282</v>
      </c>
      <c r="D1014" t="s">
        <v>2283</v>
      </c>
    </row>
    <row r="1015" spans="1:4" x14ac:dyDescent="0.2">
      <c r="A1015" t="s">
        <v>2345</v>
      </c>
      <c r="B1015" t="s">
        <v>2284</v>
      </c>
      <c r="C1015" t="s">
        <v>2285</v>
      </c>
      <c r="D1015" t="s">
        <v>2286</v>
      </c>
    </row>
    <row r="1016" spans="1:4" x14ac:dyDescent="0.2">
      <c r="A1016" t="s">
        <v>2345</v>
      </c>
      <c r="B1016" t="s">
        <v>2287</v>
      </c>
      <c r="C1016" t="s">
        <v>2288</v>
      </c>
      <c r="D1016" t="s">
        <v>2289</v>
      </c>
    </row>
    <row r="1017" spans="1:4" x14ac:dyDescent="0.2">
      <c r="A1017" t="s">
        <v>2345</v>
      </c>
      <c r="B1017" t="s">
        <v>2290</v>
      </c>
      <c r="C1017" t="s">
        <v>2291</v>
      </c>
      <c r="D1017" t="s">
        <v>2292</v>
      </c>
    </row>
    <row r="1018" spans="1:4" x14ac:dyDescent="0.2">
      <c r="A1018" t="s">
        <v>2345</v>
      </c>
      <c r="B1018" t="s">
        <v>2293</v>
      </c>
      <c r="C1018" t="s">
        <v>2294</v>
      </c>
      <c r="D1018" t="s">
        <v>2295</v>
      </c>
    </row>
    <row r="1019" spans="1:4" x14ac:dyDescent="0.2">
      <c r="A1019" t="s">
        <v>2345</v>
      </c>
      <c r="B1019" t="s">
        <v>2296</v>
      </c>
      <c r="C1019" t="s">
        <v>2297</v>
      </c>
      <c r="D1019" t="s">
        <v>2298</v>
      </c>
    </row>
    <row r="1020" spans="1:4" x14ac:dyDescent="0.2">
      <c r="A1020" t="s">
        <v>2345</v>
      </c>
      <c r="B1020" t="s">
        <v>2299</v>
      </c>
      <c r="C1020" t="s">
        <v>2300</v>
      </c>
      <c r="D1020" t="s">
        <v>2301</v>
      </c>
    </row>
    <row r="1021" spans="1:4" x14ac:dyDescent="0.2">
      <c r="A1021" t="s">
        <v>2345</v>
      </c>
      <c r="B1021" t="s">
        <v>2302</v>
      </c>
      <c r="C1021" t="s">
        <v>2303</v>
      </c>
      <c r="D1021" t="s">
        <v>2304</v>
      </c>
    </row>
    <row r="1022" spans="1:4" x14ac:dyDescent="0.2">
      <c r="A1022" t="s">
        <v>2345</v>
      </c>
      <c r="B1022" t="s">
        <v>2305</v>
      </c>
      <c r="C1022" t="s">
        <v>2306</v>
      </c>
      <c r="D1022" t="s">
        <v>2307</v>
      </c>
    </row>
    <row r="1023" spans="1:4" x14ac:dyDescent="0.2">
      <c r="A1023" t="s">
        <v>2345</v>
      </c>
      <c r="B1023" t="s">
        <v>2308</v>
      </c>
      <c r="C1023" t="s">
        <v>2309</v>
      </c>
      <c r="D1023" t="s">
        <v>2310</v>
      </c>
    </row>
    <row r="1024" spans="1:4" x14ac:dyDescent="0.2">
      <c r="A1024" t="s">
        <v>2345</v>
      </c>
      <c r="B1024" t="s">
        <v>2311</v>
      </c>
      <c r="C1024" t="s">
        <v>2312</v>
      </c>
      <c r="D1024" t="s">
        <v>2313</v>
      </c>
    </row>
    <row r="1025" spans="1:4" x14ac:dyDescent="0.2">
      <c r="A1025" t="s">
        <v>2345</v>
      </c>
      <c r="B1025" t="s">
        <v>2314</v>
      </c>
      <c r="C1025" t="s">
        <v>2315</v>
      </c>
      <c r="D1025" t="s">
        <v>2316</v>
      </c>
    </row>
    <row r="1026" spans="1:4" x14ac:dyDescent="0.2">
      <c r="A1026" t="s">
        <v>2345</v>
      </c>
      <c r="B1026" t="s">
        <v>2317</v>
      </c>
      <c r="C1026" t="s">
        <v>2318</v>
      </c>
      <c r="D1026" t="s">
        <v>2319</v>
      </c>
    </row>
    <row r="1027" spans="1:4" x14ac:dyDescent="0.2">
      <c r="A1027" t="s">
        <v>2345</v>
      </c>
      <c r="B1027" t="s">
        <v>2320</v>
      </c>
      <c r="C1027" t="s">
        <v>2321</v>
      </c>
      <c r="D1027" t="s">
        <v>2322</v>
      </c>
    </row>
    <row r="1028" spans="1:4" x14ac:dyDescent="0.2">
      <c r="A1028" t="s">
        <v>2345</v>
      </c>
      <c r="B1028" t="s">
        <v>2323</v>
      </c>
      <c r="C1028" t="s">
        <v>2324</v>
      </c>
      <c r="D1028" t="s">
        <v>2325</v>
      </c>
    </row>
    <row r="1029" spans="1:4" x14ac:dyDescent="0.2">
      <c r="A1029" t="s">
        <v>2345</v>
      </c>
      <c r="B1029" t="s">
        <v>2326</v>
      </c>
      <c r="C1029" t="s">
        <v>2327</v>
      </c>
      <c r="D1029" t="s">
        <v>2328</v>
      </c>
    </row>
    <row r="1030" spans="1:4" x14ac:dyDescent="0.2">
      <c r="A1030" t="s">
        <v>2345</v>
      </c>
      <c r="B1030" t="s">
        <v>2329</v>
      </c>
      <c r="C1030" t="s">
        <v>2330</v>
      </c>
      <c r="D1030" t="s">
        <v>2330</v>
      </c>
    </row>
    <row r="1031" spans="1:4" x14ac:dyDescent="0.2">
      <c r="A1031" t="s">
        <v>2345</v>
      </c>
      <c r="B1031" t="s">
        <v>2331</v>
      </c>
      <c r="C1031" t="s">
        <v>2332</v>
      </c>
      <c r="D1031" t="s">
        <v>2333</v>
      </c>
    </row>
    <row r="1032" spans="1:4" x14ac:dyDescent="0.2">
      <c r="A1032" t="s">
        <v>2345</v>
      </c>
      <c r="B1032" t="s">
        <v>2337</v>
      </c>
      <c r="C1032" t="s">
        <v>2042</v>
      </c>
      <c r="D1032" t="s">
        <v>2338</v>
      </c>
    </row>
    <row r="1033" spans="1:4" x14ac:dyDescent="0.2">
      <c r="A1033" t="s">
        <v>2345</v>
      </c>
      <c r="B1033" t="s">
        <v>2339</v>
      </c>
      <c r="C1033" t="s">
        <v>2043</v>
      </c>
      <c r="D1033" t="s">
        <v>2340</v>
      </c>
    </row>
    <row r="1035" spans="1:4" x14ac:dyDescent="0.2">
      <c r="A1035" t="s">
        <v>2346</v>
      </c>
      <c r="B1035" t="s">
        <v>2347</v>
      </c>
      <c r="C1035" t="s">
        <v>2348</v>
      </c>
    </row>
    <row r="1036" spans="1:4" x14ac:dyDescent="0.2">
      <c r="A1036" t="s">
        <v>2346</v>
      </c>
      <c r="B1036" t="s">
        <v>2349</v>
      </c>
      <c r="C1036" t="s">
        <v>2350</v>
      </c>
    </row>
    <row r="1037" spans="1:4" x14ac:dyDescent="0.2">
      <c r="A1037" t="s">
        <v>2346</v>
      </c>
      <c r="B1037" t="s">
        <v>2351</v>
      </c>
      <c r="C1037" t="s">
        <v>2352</v>
      </c>
    </row>
    <row r="1038" spans="1:4" x14ac:dyDescent="0.2">
      <c r="A1038" t="s">
        <v>2346</v>
      </c>
      <c r="B1038" t="s">
        <v>2353</v>
      </c>
      <c r="C1038" t="s">
        <v>2354</v>
      </c>
    </row>
    <row r="1039" spans="1:4" x14ac:dyDescent="0.2">
      <c r="A1039" t="s">
        <v>2346</v>
      </c>
      <c r="B1039" t="s">
        <v>2355</v>
      </c>
      <c r="C1039" t="s">
        <v>2356</v>
      </c>
    </row>
    <row r="1040" spans="1:4" x14ac:dyDescent="0.2">
      <c r="A1040" t="s">
        <v>2346</v>
      </c>
      <c r="B1040" t="s">
        <v>2357</v>
      </c>
      <c r="C1040" t="s">
        <v>2358</v>
      </c>
    </row>
    <row r="1041" spans="1:6" x14ac:dyDescent="0.2">
      <c r="A1041" t="s">
        <v>2346</v>
      </c>
      <c r="B1041" t="s">
        <v>2359</v>
      </c>
      <c r="C1041" t="s">
        <v>2360</v>
      </c>
    </row>
    <row r="1042" spans="1:6" x14ac:dyDescent="0.2">
      <c r="A1042" t="s">
        <v>2346</v>
      </c>
      <c r="B1042" t="s">
        <v>2361</v>
      </c>
      <c r="C1042" t="s">
        <v>2362</v>
      </c>
    </row>
    <row r="1043" spans="1:6" x14ac:dyDescent="0.2">
      <c r="A1043" t="s">
        <v>2346</v>
      </c>
      <c r="B1043" t="s">
        <v>2363</v>
      </c>
      <c r="C1043" t="s">
        <v>2364</v>
      </c>
    </row>
    <row r="1044" spans="1:6" x14ac:dyDescent="0.2">
      <c r="A1044" t="s">
        <v>2346</v>
      </c>
      <c r="B1044" t="s">
        <v>2365</v>
      </c>
      <c r="C1044" t="s">
        <v>2366</v>
      </c>
    </row>
    <row r="1045" spans="1:6" x14ac:dyDescent="0.2">
      <c r="A1045" t="s">
        <v>2346</v>
      </c>
      <c r="B1045" t="s">
        <v>2367</v>
      </c>
      <c r="C1045" t="s">
        <v>2368</v>
      </c>
    </row>
    <row r="1046" spans="1:6" x14ac:dyDescent="0.2">
      <c r="A1046" t="s">
        <v>2346</v>
      </c>
      <c r="B1046" t="s">
        <v>2369</v>
      </c>
      <c r="C1046" t="s">
        <v>2370</v>
      </c>
    </row>
    <row r="1047" spans="1:6" x14ac:dyDescent="0.2">
      <c r="A1047" t="s">
        <v>2346</v>
      </c>
      <c r="B1047" t="s">
        <v>2371</v>
      </c>
      <c r="C1047" t="s">
        <v>2372</v>
      </c>
    </row>
    <row r="1048" spans="1:6" x14ac:dyDescent="0.2">
      <c r="A1048" t="s">
        <v>2346</v>
      </c>
      <c r="B1048" t="s">
        <v>2373</v>
      </c>
      <c r="C1048" t="s">
        <v>2374</v>
      </c>
    </row>
    <row r="1050" spans="1:6" x14ac:dyDescent="0.2">
      <c r="A1050" t="s">
        <v>2375</v>
      </c>
      <c r="B1050" t="s">
        <v>2376</v>
      </c>
      <c r="C1050" t="s">
        <v>2348</v>
      </c>
      <c r="F1050" t="s">
        <v>2347</v>
      </c>
    </row>
    <row r="1051" spans="1:6" x14ac:dyDescent="0.2">
      <c r="A1051" t="s">
        <v>2375</v>
      </c>
      <c r="B1051" t="s">
        <v>2377</v>
      </c>
      <c r="C1051" t="s">
        <v>2378</v>
      </c>
      <c r="F1051" t="s">
        <v>2347</v>
      </c>
    </row>
    <row r="1052" spans="1:6" x14ac:dyDescent="0.2">
      <c r="A1052" t="s">
        <v>2375</v>
      </c>
      <c r="B1052" t="s">
        <v>2379</v>
      </c>
      <c r="C1052" t="s">
        <v>2380</v>
      </c>
      <c r="F1052" t="s">
        <v>2347</v>
      </c>
    </row>
    <row r="1053" spans="1:6" x14ac:dyDescent="0.2">
      <c r="A1053" t="s">
        <v>2375</v>
      </c>
      <c r="B1053" t="s">
        <v>2381</v>
      </c>
      <c r="C1053" t="s">
        <v>2382</v>
      </c>
      <c r="F1053" t="s">
        <v>2347</v>
      </c>
    </row>
    <row r="1054" spans="1:6" x14ac:dyDescent="0.2">
      <c r="A1054" t="s">
        <v>2375</v>
      </c>
      <c r="B1054" t="s">
        <v>2383</v>
      </c>
      <c r="C1054" t="s">
        <v>2384</v>
      </c>
      <c r="F1054" t="s">
        <v>2347</v>
      </c>
    </row>
    <row r="1055" spans="1:6" x14ac:dyDescent="0.2">
      <c r="A1055" t="s">
        <v>2375</v>
      </c>
      <c r="B1055" t="s">
        <v>2385</v>
      </c>
      <c r="C1055" t="s">
        <v>2386</v>
      </c>
      <c r="F1055" t="s">
        <v>2347</v>
      </c>
    </row>
    <row r="1056" spans="1:6" x14ac:dyDescent="0.2">
      <c r="A1056" t="s">
        <v>2375</v>
      </c>
      <c r="B1056" t="s">
        <v>2387</v>
      </c>
      <c r="C1056" t="s">
        <v>2388</v>
      </c>
      <c r="F1056" t="s">
        <v>2347</v>
      </c>
    </row>
    <row r="1057" spans="1:6" x14ac:dyDescent="0.2">
      <c r="A1057" t="s">
        <v>2375</v>
      </c>
      <c r="B1057" t="s">
        <v>2389</v>
      </c>
      <c r="C1057" t="s">
        <v>2390</v>
      </c>
      <c r="F1057" t="s">
        <v>2347</v>
      </c>
    </row>
    <row r="1058" spans="1:6" x14ac:dyDescent="0.2">
      <c r="A1058" t="s">
        <v>2375</v>
      </c>
      <c r="B1058" t="s">
        <v>2391</v>
      </c>
      <c r="C1058" t="s">
        <v>2392</v>
      </c>
      <c r="F1058" t="s">
        <v>2347</v>
      </c>
    </row>
    <row r="1059" spans="1:6" x14ac:dyDescent="0.2">
      <c r="A1059" t="s">
        <v>2375</v>
      </c>
      <c r="B1059" t="s">
        <v>2393</v>
      </c>
      <c r="C1059" t="s">
        <v>2394</v>
      </c>
      <c r="F1059" t="s">
        <v>2347</v>
      </c>
    </row>
    <row r="1060" spans="1:6" x14ac:dyDescent="0.2">
      <c r="A1060" t="s">
        <v>2375</v>
      </c>
      <c r="B1060" t="s">
        <v>2395</v>
      </c>
      <c r="C1060" t="s">
        <v>2396</v>
      </c>
      <c r="F1060" t="s">
        <v>2347</v>
      </c>
    </row>
    <row r="1061" spans="1:6" x14ac:dyDescent="0.2">
      <c r="A1061" t="s">
        <v>2375</v>
      </c>
      <c r="B1061" t="s">
        <v>2397</v>
      </c>
      <c r="C1061" t="s">
        <v>2398</v>
      </c>
      <c r="F1061" t="s">
        <v>2347</v>
      </c>
    </row>
    <row r="1062" spans="1:6" x14ac:dyDescent="0.2">
      <c r="A1062" t="s">
        <v>2375</v>
      </c>
      <c r="B1062" t="s">
        <v>2399</v>
      </c>
      <c r="C1062" t="s">
        <v>2400</v>
      </c>
      <c r="F1062" t="s">
        <v>2349</v>
      </c>
    </row>
    <row r="1063" spans="1:6" x14ac:dyDescent="0.2">
      <c r="A1063" t="s">
        <v>2375</v>
      </c>
      <c r="B1063" t="s">
        <v>2401</v>
      </c>
      <c r="C1063" t="s">
        <v>2402</v>
      </c>
      <c r="F1063" t="s">
        <v>2349</v>
      </c>
    </row>
    <row r="1064" spans="1:6" x14ac:dyDescent="0.2">
      <c r="A1064" t="s">
        <v>2375</v>
      </c>
      <c r="B1064" t="s">
        <v>2403</v>
      </c>
      <c r="C1064" t="s">
        <v>2404</v>
      </c>
      <c r="F1064" t="s">
        <v>2349</v>
      </c>
    </row>
    <row r="1065" spans="1:6" x14ac:dyDescent="0.2">
      <c r="A1065" t="s">
        <v>2375</v>
      </c>
      <c r="B1065" t="s">
        <v>2405</v>
      </c>
      <c r="C1065" t="s">
        <v>2406</v>
      </c>
      <c r="F1065" t="s">
        <v>2349</v>
      </c>
    </row>
    <row r="1066" spans="1:6" x14ac:dyDescent="0.2">
      <c r="A1066" t="s">
        <v>2375</v>
      </c>
      <c r="B1066" t="s">
        <v>2407</v>
      </c>
      <c r="C1066" t="s">
        <v>2408</v>
      </c>
      <c r="F1066" t="s">
        <v>2349</v>
      </c>
    </row>
    <row r="1067" spans="1:6" x14ac:dyDescent="0.2">
      <c r="A1067" t="s">
        <v>2375</v>
      </c>
      <c r="B1067" t="s">
        <v>2409</v>
      </c>
      <c r="C1067" t="s">
        <v>2410</v>
      </c>
      <c r="F1067" t="s">
        <v>2349</v>
      </c>
    </row>
    <row r="1068" spans="1:6" x14ac:dyDescent="0.2">
      <c r="A1068" t="s">
        <v>2375</v>
      </c>
      <c r="B1068" t="s">
        <v>2411</v>
      </c>
      <c r="C1068" t="s">
        <v>2412</v>
      </c>
      <c r="F1068" t="s">
        <v>2349</v>
      </c>
    </row>
    <row r="1069" spans="1:6" x14ac:dyDescent="0.2">
      <c r="A1069" t="s">
        <v>2375</v>
      </c>
      <c r="B1069" t="s">
        <v>2413</v>
      </c>
      <c r="C1069" t="s">
        <v>2414</v>
      </c>
      <c r="F1069" t="s">
        <v>2349</v>
      </c>
    </row>
    <row r="1070" spans="1:6" x14ac:dyDescent="0.2">
      <c r="A1070" t="s">
        <v>2375</v>
      </c>
      <c r="B1070" t="s">
        <v>2415</v>
      </c>
      <c r="C1070" t="s">
        <v>2416</v>
      </c>
      <c r="F1070" t="s">
        <v>2349</v>
      </c>
    </row>
    <row r="1071" spans="1:6" x14ac:dyDescent="0.2">
      <c r="A1071" t="s">
        <v>2375</v>
      </c>
      <c r="B1071" t="s">
        <v>2417</v>
      </c>
      <c r="C1071" t="s">
        <v>2418</v>
      </c>
      <c r="F1071" t="s">
        <v>2351</v>
      </c>
    </row>
    <row r="1072" spans="1:6" x14ac:dyDescent="0.2">
      <c r="A1072" t="s">
        <v>2375</v>
      </c>
      <c r="B1072" t="s">
        <v>2419</v>
      </c>
      <c r="C1072" t="s">
        <v>2420</v>
      </c>
      <c r="F1072" t="s">
        <v>2351</v>
      </c>
    </row>
    <row r="1073" spans="1:6" x14ac:dyDescent="0.2">
      <c r="A1073" t="s">
        <v>2375</v>
      </c>
      <c r="B1073" t="s">
        <v>2421</v>
      </c>
      <c r="C1073" t="s">
        <v>2422</v>
      </c>
      <c r="F1073" t="s">
        <v>2351</v>
      </c>
    </row>
    <row r="1074" spans="1:6" x14ac:dyDescent="0.2">
      <c r="A1074" t="s">
        <v>2375</v>
      </c>
      <c r="B1074" t="s">
        <v>2423</v>
      </c>
      <c r="C1074" t="s">
        <v>2424</v>
      </c>
      <c r="F1074" t="s">
        <v>2351</v>
      </c>
    </row>
    <row r="1075" spans="1:6" x14ac:dyDescent="0.2">
      <c r="A1075" t="s">
        <v>2375</v>
      </c>
      <c r="B1075" t="s">
        <v>2425</v>
      </c>
      <c r="C1075" t="s">
        <v>2426</v>
      </c>
      <c r="F1075" t="s">
        <v>2351</v>
      </c>
    </row>
    <row r="1076" spans="1:6" x14ac:dyDescent="0.2">
      <c r="A1076" t="s">
        <v>2375</v>
      </c>
      <c r="B1076" t="s">
        <v>2427</v>
      </c>
      <c r="C1076" t="s">
        <v>2428</v>
      </c>
      <c r="F1076" t="s">
        <v>2351</v>
      </c>
    </row>
    <row r="1077" spans="1:6" x14ac:dyDescent="0.2">
      <c r="A1077" t="s">
        <v>2375</v>
      </c>
      <c r="B1077" t="s">
        <v>2429</v>
      </c>
      <c r="C1077" t="s">
        <v>2352</v>
      </c>
      <c r="F1077" t="s">
        <v>2351</v>
      </c>
    </row>
    <row r="1078" spans="1:6" x14ac:dyDescent="0.2">
      <c r="A1078" t="s">
        <v>2375</v>
      </c>
      <c r="B1078" t="s">
        <v>2430</v>
      </c>
      <c r="C1078" t="s">
        <v>2431</v>
      </c>
      <c r="F1078" t="s">
        <v>2351</v>
      </c>
    </row>
    <row r="1079" spans="1:6" x14ac:dyDescent="0.2">
      <c r="A1079" t="s">
        <v>2375</v>
      </c>
      <c r="B1079" t="s">
        <v>2432</v>
      </c>
      <c r="C1079" t="s">
        <v>2433</v>
      </c>
      <c r="F1079" t="s">
        <v>2351</v>
      </c>
    </row>
    <row r="1080" spans="1:6" x14ac:dyDescent="0.2">
      <c r="A1080" t="s">
        <v>2375</v>
      </c>
      <c r="B1080" t="s">
        <v>2434</v>
      </c>
      <c r="C1080" t="s">
        <v>2435</v>
      </c>
      <c r="F1080" t="s">
        <v>2351</v>
      </c>
    </row>
    <row r="1081" spans="1:6" x14ac:dyDescent="0.2">
      <c r="A1081" t="s">
        <v>2375</v>
      </c>
      <c r="B1081" t="s">
        <v>2436</v>
      </c>
      <c r="C1081" t="s">
        <v>2437</v>
      </c>
      <c r="F1081" t="s">
        <v>2351</v>
      </c>
    </row>
    <row r="1082" spans="1:6" x14ac:dyDescent="0.2">
      <c r="A1082" t="s">
        <v>2375</v>
      </c>
      <c r="B1082" t="s">
        <v>2438</v>
      </c>
      <c r="C1082" t="s">
        <v>2439</v>
      </c>
      <c r="F1082" t="s">
        <v>2351</v>
      </c>
    </row>
    <row r="1083" spans="1:6" x14ac:dyDescent="0.2">
      <c r="A1083" t="s">
        <v>2375</v>
      </c>
      <c r="B1083" t="s">
        <v>2440</v>
      </c>
      <c r="C1083" t="s">
        <v>2441</v>
      </c>
      <c r="F1083" t="s">
        <v>2351</v>
      </c>
    </row>
    <row r="1084" spans="1:6" x14ac:dyDescent="0.2">
      <c r="A1084" t="s">
        <v>2375</v>
      </c>
      <c r="B1084" t="s">
        <v>2442</v>
      </c>
      <c r="C1084" t="s">
        <v>2443</v>
      </c>
      <c r="F1084" t="s">
        <v>2351</v>
      </c>
    </row>
    <row r="1085" spans="1:6" x14ac:dyDescent="0.2">
      <c r="A1085" t="s">
        <v>2375</v>
      </c>
      <c r="B1085" t="s">
        <v>2444</v>
      </c>
      <c r="C1085" t="s">
        <v>2445</v>
      </c>
      <c r="F1085" t="s">
        <v>2351</v>
      </c>
    </row>
    <row r="1086" spans="1:6" x14ac:dyDescent="0.2">
      <c r="A1086" t="s">
        <v>2375</v>
      </c>
      <c r="B1086" t="s">
        <v>2446</v>
      </c>
      <c r="C1086" t="s">
        <v>2447</v>
      </c>
      <c r="F1086" t="s">
        <v>2351</v>
      </c>
    </row>
    <row r="1087" spans="1:6" x14ac:dyDescent="0.2">
      <c r="A1087" t="s">
        <v>2375</v>
      </c>
      <c r="B1087" t="s">
        <v>2448</v>
      </c>
      <c r="C1087" t="s">
        <v>2449</v>
      </c>
      <c r="F1087" t="s">
        <v>2351</v>
      </c>
    </row>
    <row r="1088" spans="1:6" x14ac:dyDescent="0.2">
      <c r="A1088" t="s">
        <v>2375</v>
      </c>
      <c r="B1088" t="s">
        <v>2450</v>
      </c>
      <c r="C1088" t="s">
        <v>2451</v>
      </c>
      <c r="F1088" t="s">
        <v>2351</v>
      </c>
    </row>
    <row r="1089" spans="1:6" x14ac:dyDescent="0.2">
      <c r="A1089" t="s">
        <v>2375</v>
      </c>
      <c r="B1089" t="s">
        <v>2452</v>
      </c>
      <c r="C1089" t="s">
        <v>2453</v>
      </c>
      <c r="F1089" t="s">
        <v>2351</v>
      </c>
    </row>
    <row r="1090" spans="1:6" x14ac:dyDescent="0.2">
      <c r="A1090" t="s">
        <v>2375</v>
      </c>
      <c r="B1090" t="s">
        <v>2454</v>
      </c>
      <c r="C1090" t="s">
        <v>2455</v>
      </c>
      <c r="F1090" t="s">
        <v>2351</v>
      </c>
    </row>
    <row r="1091" spans="1:6" x14ac:dyDescent="0.2">
      <c r="A1091" t="s">
        <v>2375</v>
      </c>
      <c r="B1091" t="s">
        <v>2456</v>
      </c>
      <c r="C1091" t="s">
        <v>2457</v>
      </c>
      <c r="F1091" t="s">
        <v>2351</v>
      </c>
    </row>
    <row r="1092" spans="1:6" x14ac:dyDescent="0.2">
      <c r="A1092" t="s">
        <v>2375</v>
      </c>
      <c r="B1092" t="s">
        <v>2458</v>
      </c>
      <c r="C1092" t="s">
        <v>2459</v>
      </c>
      <c r="F1092" t="s">
        <v>2351</v>
      </c>
    </row>
    <row r="1093" spans="1:6" x14ac:dyDescent="0.2">
      <c r="A1093" t="s">
        <v>2375</v>
      </c>
      <c r="B1093" t="s">
        <v>2460</v>
      </c>
      <c r="C1093" t="s">
        <v>2461</v>
      </c>
      <c r="F1093" t="s">
        <v>2351</v>
      </c>
    </row>
    <row r="1094" spans="1:6" x14ac:dyDescent="0.2">
      <c r="A1094" t="s">
        <v>2375</v>
      </c>
      <c r="B1094" t="s">
        <v>2462</v>
      </c>
      <c r="C1094" t="s">
        <v>2463</v>
      </c>
      <c r="F1094" t="s">
        <v>2351</v>
      </c>
    </row>
    <row r="1095" spans="1:6" x14ac:dyDescent="0.2">
      <c r="A1095" t="s">
        <v>2375</v>
      </c>
      <c r="B1095" t="s">
        <v>2464</v>
      </c>
      <c r="C1095" t="s">
        <v>2465</v>
      </c>
      <c r="F1095" t="s">
        <v>2351</v>
      </c>
    </row>
    <row r="1096" spans="1:6" x14ac:dyDescent="0.2">
      <c r="A1096" t="s">
        <v>2375</v>
      </c>
      <c r="B1096" t="s">
        <v>2466</v>
      </c>
      <c r="C1096" t="s">
        <v>2467</v>
      </c>
      <c r="F1096" t="s">
        <v>2351</v>
      </c>
    </row>
    <row r="1097" spans="1:6" x14ac:dyDescent="0.2">
      <c r="A1097" t="s">
        <v>2375</v>
      </c>
      <c r="B1097" t="s">
        <v>2468</v>
      </c>
      <c r="C1097" t="s">
        <v>2469</v>
      </c>
      <c r="F1097" t="s">
        <v>2351</v>
      </c>
    </row>
    <row r="1098" spans="1:6" x14ac:dyDescent="0.2">
      <c r="A1098" t="s">
        <v>2375</v>
      </c>
      <c r="B1098" t="s">
        <v>2470</v>
      </c>
      <c r="C1098" t="s">
        <v>2471</v>
      </c>
      <c r="F1098" t="s">
        <v>2351</v>
      </c>
    </row>
    <row r="1099" spans="1:6" x14ac:dyDescent="0.2">
      <c r="A1099" t="s">
        <v>2375</v>
      </c>
      <c r="B1099" t="s">
        <v>2472</v>
      </c>
      <c r="C1099" t="s">
        <v>2473</v>
      </c>
      <c r="F1099" t="s">
        <v>2351</v>
      </c>
    </row>
    <row r="1100" spans="1:6" x14ac:dyDescent="0.2">
      <c r="A1100" t="s">
        <v>2375</v>
      </c>
      <c r="B1100" t="s">
        <v>2474</v>
      </c>
      <c r="C1100" t="s">
        <v>2475</v>
      </c>
      <c r="F1100" t="s">
        <v>2351</v>
      </c>
    </row>
    <row r="1101" spans="1:6" x14ac:dyDescent="0.2">
      <c r="A1101" t="s">
        <v>2375</v>
      </c>
      <c r="B1101" t="s">
        <v>2476</v>
      </c>
      <c r="C1101" t="s">
        <v>2477</v>
      </c>
      <c r="F1101" t="s">
        <v>2351</v>
      </c>
    </row>
    <row r="1102" spans="1:6" x14ac:dyDescent="0.2">
      <c r="A1102" t="s">
        <v>2375</v>
      </c>
      <c r="B1102" t="s">
        <v>2478</v>
      </c>
      <c r="C1102" t="s">
        <v>2479</v>
      </c>
      <c r="F1102" t="s">
        <v>2351</v>
      </c>
    </row>
    <row r="1103" spans="1:6" x14ac:dyDescent="0.2">
      <c r="A1103" t="s">
        <v>2375</v>
      </c>
      <c r="B1103" t="s">
        <v>2480</v>
      </c>
      <c r="C1103" t="s">
        <v>2481</v>
      </c>
      <c r="F1103" t="s">
        <v>2351</v>
      </c>
    </row>
    <row r="1104" spans="1:6" x14ac:dyDescent="0.2">
      <c r="A1104" t="s">
        <v>2375</v>
      </c>
      <c r="B1104" t="s">
        <v>2482</v>
      </c>
      <c r="C1104" t="s">
        <v>2483</v>
      </c>
      <c r="F1104" t="s">
        <v>2351</v>
      </c>
    </row>
    <row r="1105" spans="1:6" x14ac:dyDescent="0.2">
      <c r="A1105" t="s">
        <v>2375</v>
      </c>
      <c r="B1105" t="s">
        <v>2484</v>
      </c>
      <c r="C1105" t="s">
        <v>2485</v>
      </c>
      <c r="F1105" t="s">
        <v>2353</v>
      </c>
    </row>
    <row r="1106" spans="1:6" x14ac:dyDescent="0.2">
      <c r="A1106" t="s">
        <v>2375</v>
      </c>
      <c r="B1106" t="s">
        <v>2486</v>
      </c>
      <c r="C1106" t="s">
        <v>2487</v>
      </c>
      <c r="F1106" t="s">
        <v>2353</v>
      </c>
    </row>
    <row r="1107" spans="1:6" x14ac:dyDescent="0.2">
      <c r="A1107" t="s">
        <v>2375</v>
      </c>
      <c r="B1107" t="s">
        <v>2488</v>
      </c>
      <c r="C1107" t="s">
        <v>2489</v>
      </c>
      <c r="F1107" t="s">
        <v>2353</v>
      </c>
    </row>
    <row r="1108" spans="1:6" x14ac:dyDescent="0.2">
      <c r="A1108" t="s">
        <v>2375</v>
      </c>
      <c r="B1108" t="s">
        <v>2490</v>
      </c>
      <c r="C1108" t="s">
        <v>2491</v>
      </c>
      <c r="F1108" t="s">
        <v>2353</v>
      </c>
    </row>
    <row r="1109" spans="1:6" x14ac:dyDescent="0.2">
      <c r="A1109" t="s">
        <v>2375</v>
      </c>
      <c r="B1109" t="s">
        <v>2492</v>
      </c>
      <c r="C1109" t="s">
        <v>2493</v>
      </c>
      <c r="F1109" t="s">
        <v>2353</v>
      </c>
    </row>
    <row r="1110" spans="1:6" x14ac:dyDescent="0.2">
      <c r="A1110" t="s">
        <v>2375</v>
      </c>
      <c r="B1110" t="s">
        <v>2494</v>
      </c>
      <c r="C1110" t="s">
        <v>2495</v>
      </c>
      <c r="F1110" t="s">
        <v>2353</v>
      </c>
    </row>
    <row r="1111" spans="1:6" x14ac:dyDescent="0.2">
      <c r="A1111" t="s">
        <v>2375</v>
      </c>
      <c r="B1111" t="s">
        <v>2496</v>
      </c>
      <c r="C1111" t="s">
        <v>2497</v>
      </c>
      <c r="F1111" t="s">
        <v>2353</v>
      </c>
    </row>
    <row r="1112" spans="1:6" x14ac:dyDescent="0.2">
      <c r="A1112" t="s">
        <v>2375</v>
      </c>
      <c r="B1112" t="s">
        <v>2498</v>
      </c>
      <c r="C1112" t="s">
        <v>2499</v>
      </c>
      <c r="F1112" t="s">
        <v>2353</v>
      </c>
    </row>
    <row r="1113" spans="1:6" x14ac:dyDescent="0.2">
      <c r="A1113" t="s">
        <v>2375</v>
      </c>
      <c r="B1113" t="s">
        <v>2500</v>
      </c>
      <c r="C1113" t="s">
        <v>2501</v>
      </c>
      <c r="F1113" t="s">
        <v>2353</v>
      </c>
    </row>
    <row r="1114" spans="1:6" x14ac:dyDescent="0.2">
      <c r="A1114" t="s">
        <v>2375</v>
      </c>
      <c r="B1114" t="s">
        <v>2502</v>
      </c>
      <c r="C1114" t="s">
        <v>2503</v>
      </c>
      <c r="F1114" t="s">
        <v>2353</v>
      </c>
    </row>
    <row r="1115" spans="1:6" x14ac:dyDescent="0.2">
      <c r="A1115" t="s">
        <v>2375</v>
      </c>
      <c r="B1115" t="s">
        <v>2504</v>
      </c>
      <c r="C1115" t="s">
        <v>2505</v>
      </c>
      <c r="F1115" t="s">
        <v>2353</v>
      </c>
    </row>
    <row r="1116" spans="1:6" x14ac:dyDescent="0.2">
      <c r="A1116" t="s">
        <v>2375</v>
      </c>
      <c r="B1116" t="s">
        <v>2506</v>
      </c>
      <c r="C1116" t="s">
        <v>2507</v>
      </c>
      <c r="F1116" t="s">
        <v>2353</v>
      </c>
    </row>
    <row r="1117" spans="1:6" x14ac:dyDescent="0.2">
      <c r="A1117" t="s">
        <v>2375</v>
      </c>
      <c r="B1117" t="s">
        <v>2508</v>
      </c>
      <c r="C1117" t="s">
        <v>2509</v>
      </c>
      <c r="F1117" t="s">
        <v>2353</v>
      </c>
    </row>
    <row r="1118" spans="1:6" x14ac:dyDescent="0.2">
      <c r="A1118" t="s">
        <v>2375</v>
      </c>
      <c r="B1118" t="s">
        <v>2510</v>
      </c>
      <c r="C1118" t="s">
        <v>2511</v>
      </c>
      <c r="F1118" t="s">
        <v>2353</v>
      </c>
    </row>
    <row r="1119" spans="1:6" x14ac:dyDescent="0.2">
      <c r="A1119" t="s">
        <v>2375</v>
      </c>
      <c r="B1119" t="s">
        <v>2512</v>
      </c>
      <c r="C1119" t="s">
        <v>2513</v>
      </c>
      <c r="F1119" t="s">
        <v>2353</v>
      </c>
    </row>
    <row r="1120" spans="1:6" x14ac:dyDescent="0.2">
      <c r="A1120" t="s">
        <v>2375</v>
      </c>
      <c r="B1120" t="s">
        <v>2514</v>
      </c>
      <c r="C1120" t="s">
        <v>2515</v>
      </c>
      <c r="F1120" t="s">
        <v>2353</v>
      </c>
    </row>
    <row r="1121" spans="1:6" x14ac:dyDescent="0.2">
      <c r="A1121" t="s">
        <v>2375</v>
      </c>
      <c r="B1121" t="s">
        <v>2516</v>
      </c>
      <c r="C1121" t="s">
        <v>2517</v>
      </c>
      <c r="F1121" t="s">
        <v>2355</v>
      </c>
    </row>
    <row r="1122" spans="1:6" x14ac:dyDescent="0.2">
      <c r="A1122" t="s">
        <v>2375</v>
      </c>
      <c r="B1122" t="s">
        <v>2518</v>
      </c>
      <c r="C1122" t="s">
        <v>2519</v>
      </c>
      <c r="F1122" t="s">
        <v>2355</v>
      </c>
    </row>
    <row r="1123" spans="1:6" x14ac:dyDescent="0.2">
      <c r="A1123" t="s">
        <v>2375</v>
      </c>
      <c r="B1123" t="s">
        <v>2520</v>
      </c>
      <c r="C1123" t="s">
        <v>2521</v>
      </c>
      <c r="F1123" t="s">
        <v>2355</v>
      </c>
    </row>
    <row r="1124" spans="1:6" x14ac:dyDescent="0.2">
      <c r="A1124" t="s">
        <v>2375</v>
      </c>
      <c r="B1124" t="s">
        <v>2522</v>
      </c>
      <c r="C1124" t="s">
        <v>2523</v>
      </c>
      <c r="F1124" t="s">
        <v>2355</v>
      </c>
    </row>
    <row r="1125" spans="1:6" x14ac:dyDescent="0.2">
      <c r="A1125" t="s">
        <v>2375</v>
      </c>
      <c r="B1125" t="s">
        <v>2524</v>
      </c>
      <c r="C1125" t="s">
        <v>2525</v>
      </c>
      <c r="F1125" t="s">
        <v>2355</v>
      </c>
    </row>
    <row r="1126" spans="1:6" x14ac:dyDescent="0.2">
      <c r="A1126" t="s">
        <v>2375</v>
      </c>
      <c r="B1126" t="s">
        <v>2526</v>
      </c>
      <c r="C1126" t="s">
        <v>2527</v>
      </c>
      <c r="F1126" t="s">
        <v>2355</v>
      </c>
    </row>
    <row r="1127" spans="1:6" x14ac:dyDescent="0.2">
      <c r="A1127" t="s">
        <v>2375</v>
      </c>
      <c r="B1127" t="s">
        <v>2528</v>
      </c>
      <c r="C1127" t="s">
        <v>2529</v>
      </c>
      <c r="F1127" t="s">
        <v>2355</v>
      </c>
    </row>
    <row r="1128" spans="1:6" x14ac:dyDescent="0.2">
      <c r="A1128" t="s">
        <v>2375</v>
      </c>
      <c r="B1128" t="s">
        <v>2530</v>
      </c>
      <c r="C1128" t="s">
        <v>2531</v>
      </c>
      <c r="F1128" t="s">
        <v>2355</v>
      </c>
    </row>
    <row r="1129" spans="1:6" x14ac:dyDescent="0.2">
      <c r="A1129" t="s">
        <v>2375</v>
      </c>
      <c r="B1129" t="s">
        <v>2532</v>
      </c>
      <c r="C1129" t="s">
        <v>2356</v>
      </c>
      <c r="F1129" t="s">
        <v>2355</v>
      </c>
    </row>
    <row r="1130" spans="1:6" x14ac:dyDescent="0.2">
      <c r="A1130" t="s">
        <v>2375</v>
      </c>
      <c r="B1130" t="s">
        <v>2533</v>
      </c>
      <c r="C1130" t="s">
        <v>2534</v>
      </c>
      <c r="F1130" t="s">
        <v>2355</v>
      </c>
    </row>
    <row r="1131" spans="1:6" x14ac:dyDescent="0.2">
      <c r="A1131" t="s">
        <v>2375</v>
      </c>
      <c r="B1131" t="s">
        <v>2535</v>
      </c>
      <c r="C1131" t="s">
        <v>2536</v>
      </c>
      <c r="F1131" t="s">
        <v>2355</v>
      </c>
    </row>
    <row r="1132" spans="1:6" x14ac:dyDescent="0.2">
      <c r="A1132" t="s">
        <v>2375</v>
      </c>
      <c r="B1132" t="s">
        <v>2537</v>
      </c>
      <c r="C1132" t="s">
        <v>2538</v>
      </c>
      <c r="F1132" t="s">
        <v>2355</v>
      </c>
    </row>
    <row r="1133" spans="1:6" x14ac:dyDescent="0.2">
      <c r="A1133" t="s">
        <v>2375</v>
      </c>
      <c r="B1133" t="s">
        <v>2539</v>
      </c>
      <c r="C1133" t="s">
        <v>2540</v>
      </c>
      <c r="F1133" t="s">
        <v>2355</v>
      </c>
    </row>
    <row r="1134" spans="1:6" x14ac:dyDescent="0.2">
      <c r="A1134" t="s">
        <v>2375</v>
      </c>
      <c r="B1134" t="s">
        <v>2541</v>
      </c>
      <c r="C1134" t="s">
        <v>2542</v>
      </c>
      <c r="F1134" t="s">
        <v>2355</v>
      </c>
    </row>
    <row r="1135" spans="1:6" x14ac:dyDescent="0.2">
      <c r="A1135" t="s">
        <v>2375</v>
      </c>
      <c r="B1135" t="s">
        <v>2543</v>
      </c>
      <c r="C1135" t="s">
        <v>2544</v>
      </c>
      <c r="F1135" t="s">
        <v>2355</v>
      </c>
    </row>
    <row r="1136" spans="1:6" x14ac:dyDescent="0.2">
      <c r="A1136" t="s">
        <v>2375</v>
      </c>
      <c r="B1136" t="s">
        <v>2545</v>
      </c>
      <c r="C1136" t="s">
        <v>2546</v>
      </c>
      <c r="F1136" t="s">
        <v>2355</v>
      </c>
    </row>
    <row r="1137" spans="1:6" x14ac:dyDescent="0.2">
      <c r="A1137" t="s">
        <v>2375</v>
      </c>
      <c r="B1137" t="s">
        <v>2547</v>
      </c>
      <c r="C1137" t="s">
        <v>2548</v>
      </c>
      <c r="F1137" t="s">
        <v>2355</v>
      </c>
    </row>
    <row r="1138" spans="1:6" x14ac:dyDescent="0.2">
      <c r="A1138" t="s">
        <v>2375</v>
      </c>
      <c r="B1138" t="s">
        <v>2549</v>
      </c>
      <c r="C1138" t="s">
        <v>2550</v>
      </c>
      <c r="F1138" t="s">
        <v>2355</v>
      </c>
    </row>
    <row r="1139" spans="1:6" x14ac:dyDescent="0.2">
      <c r="A1139" t="s">
        <v>2375</v>
      </c>
      <c r="B1139" t="s">
        <v>2551</v>
      </c>
      <c r="C1139" t="s">
        <v>2552</v>
      </c>
      <c r="F1139" t="s">
        <v>2355</v>
      </c>
    </row>
    <row r="1140" spans="1:6" x14ac:dyDescent="0.2">
      <c r="A1140" t="s">
        <v>2375</v>
      </c>
      <c r="B1140" t="s">
        <v>2553</v>
      </c>
      <c r="C1140" t="s">
        <v>2554</v>
      </c>
      <c r="F1140" t="s">
        <v>2355</v>
      </c>
    </row>
    <row r="1141" spans="1:6" x14ac:dyDescent="0.2">
      <c r="A1141" t="s">
        <v>2375</v>
      </c>
      <c r="B1141" t="s">
        <v>2555</v>
      </c>
      <c r="C1141" t="s">
        <v>2556</v>
      </c>
      <c r="F1141" t="s">
        <v>2355</v>
      </c>
    </row>
    <row r="1142" spans="1:6" x14ac:dyDescent="0.2">
      <c r="A1142" t="s">
        <v>2375</v>
      </c>
      <c r="B1142" t="s">
        <v>2557</v>
      </c>
      <c r="C1142" t="s">
        <v>2558</v>
      </c>
      <c r="F1142" t="s">
        <v>2355</v>
      </c>
    </row>
    <row r="1143" spans="1:6" x14ac:dyDescent="0.2">
      <c r="A1143" t="s">
        <v>2375</v>
      </c>
      <c r="B1143" t="s">
        <v>2559</v>
      </c>
      <c r="C1143" t="s">
        <v>2560</v>
      </c>
      <c r="F1143" t="s">
        <v>2357</v>
      </c>
    </row>
    <row r="1144" spans="1:6" x14ac:dyDescent="0.2">
      <c r="A1144" t="s">
        <v>2375</v>
      </c>
      <c r="B1144" t="s">
        <v>2561</v>
      </c>
      <c r="C1144" t="s">
        <v>2491</v>
      </c>
      <c r="F1144" t="s">
        <v>2357</v>
      </c>
    </row>
    <row r="1145" spans="1:6" x14ac:dyDescent="0.2">
      <c r="A1145" t="s">
        <v>2375</v>
      </c>
      <c r="B1145" t="s">
        <v>2562</v>
      </c>
      <c r="C1145" t="s">
        <v>2563</v>
      </c>
      <c r="F1145" t="s">
        <v>2357</v>
      </c>
    </row>
    <row r="1146" spans="1:6" x14ac:dyDescent="0.2">
      <c r="A1146" t="s">
        <v>2375</v>
      </c>
      <c r="B1146" t="s">
        <v>2564</v>
      </c>
      <c r="C1146" t="s">
        <v>2565</v>
      </c>
      <c r="F1146" t="s">
        <v>2357</v>
      </c>
    </row>
    <row r="1147" spans="1:6" x14ac:dyDescent="0.2">
      <c r="A1147" t="s">
        <v>2375</v>
      </c>
      <c r="B1147" t="s">
        <v>2566</v>
      </c>
      <c r="C1147" t="s">
        <v>2567</v>
      </c>
      <c r="F1147" t="s">
        <v>2357</v>
      </c>
    </row>
    <row r="1148" spans="1:6" x14ac:dyDescent="0.2">
      <c r="A1148" t="s">
        <v>2375</v>
      </c>
      <c r="B1148" t="s">
        <v>2568</v>
      </c>
      <c r="C1148" t="s">
        <v>2569</v>
      </c>
      <c r="F1148" t="s">
        <v>2357</v>
      </c>
    </row>
    <row r="1149" spans="1:6" x14ac:dyDescent="0.2">
      <c r="A1149" t="s">
        <v>2375</v>
      </c>
      <c r="B1149" t="s">
        <v>2570</v>
      </c>
      <c r="C1149" t="s">
        <v>2571</v>
      </c>
      <c r="F1149" t="s">
        <v>2357</v>
      </c>
    </row>
    <row r="1150" spans="1:6" x14ac:dyDescent="0.2">
      <c r="A1150" t="s">
        <v>2375</v>
      </c>
      <c r="B1150" t="s">
        <v>2572</v>
      </c>
      <c r="C1150" t="s">
        <v>2573</v>
      </c>
      <c r="F1150" t="s">
        <v>2357</v>
      </c>
    </row>
    <row r="1151" spans="1:6" x14ac:dyDescent="0.2">
      <c r="A1151" t="s">
        <v>2375</v>
      </c>
      <c r="B1151" t="s">
        <v>2574</v>
      </c>
      <c r="C1151" t="s">
        <v>2575</v>
      </c>
      <c r="F1151" t="s">
        <v>2357</v>
      </c>
    </row>
    <row r="1152" spans="1:6" x14ac:dyDescent="0.2">
      <c r="A1152" t="s">
        <v>2375</v>
      </c>
      <c r="B1152" t="s">
        <v>2576</v>
      </c>
      <c r="C1152" t="s">
        <v>2577</v>
      </c>
      <c r="F1152" t="s">
        <v>2357</v>
      </c>
    </row>
    <row r="1153" spans="1:6" x14ac:dyDescent="0.2">
      <c r="A1153" t="s">
        <v>2375</v>
      </c>
      <c r="B1153" t="s">
        <v>2578</v>
      </c>
      <c r="C1153" t="s">
        <v>2579</v>
      </c>
      <c r="F1153" t="s">
        <v>2357</v>
      </c>
    </row>
    <row r="1154" spans="1:6" x14ac:dyDescent="0.2">
      <c r="A1154" t="s">
        <v>2375</v>
      </c>
      <c r="B1154" t="s">
        <v>2580</v>
      </c>
      <c r="C1154" t="s">
        <v>2581</v>
      </c>
      <c r="F1154" t="s">
        <v>2357</v>
      </c>
    </row>
    <row r="1155" spans="1:6" x14ac:dyDescent="0.2">
      <c r="A1155" t="s">
        <v>2375</v>
      </c>
      <c r="B1155" t="s">
        <v>2582</v>
      </c>
      <c r="C1155" t="s">
        <v>2583</v>
      </c>
      <c r="F1155" t="s">
        <v>2357</v>
      </c>
    </row>
    <row r="1156" spans="1:6" x14ac:dyDescent="0.2">
      <c r="A1156" t="s">
        <v>2375</v>
      </c>
      <c r="B1156" t="s">
        <v>2584</v>
      </c>
      <c r="C1156" t="s">
        <v>2585</v>
      </c>
      <c r="F1156" t="s">
        <v>2357</v>
      </c>
    </row>
    <row r="1157" spans="1:6" x14ac:dyDescent="0.2">
      <c r="A1157" t="s">
        <v>2375</v>
      </c>
      <c r="B1157" t="s">
        <v>2586</v>
      </c>
      <c r="C1157" t="s">
        <v>2587</v>
      </c>
      <c r="F1157" t="s">
        <v>2357</v>
      </c>
    </row>
    <row r="1158" spans="1:6" x14ac:dyDescent="0.2">
      <c r="A1158" t="s">
        <v>2375</v>
      </c>
      <c r="B1158" t="s">
        <v>2588</v>
      </c>
      <c r="C1158" t="s">
        <v>2589</v>
      </c>
      <c r="F1158" t="s">
        <v>2357</v>
      </c>
    </row>
    <row r="1159" spans="1:6" x14ac:dyDescent="0.2">
      <c r="A1159" t="s">
        <v>2375</v>
      </c>
      <c r="B1159" t="s">
        <v>2590</v>
      </c>
      <c r="C1159" t="s">
        <v>2591</v>
      </c>
      <c r="F1159" t="s">
        <v>2357</v>
      </c>
    </row>
    <row r="1160" spans="1:6" x14ac:dyDescent="0.2">
      <c r="A1160" t="s">
        <v>2375</v>
      </c>
      <c r="B1160" t="s">
        <v>2592</v>
      </c>
      <c r="C1160" t="s">
        <v>2593</v>
      </c>
      <c r="F1160" t="s">
        <v>2357</v>
      </c>
    </row>
    <row r="1161" spans="1:6" x14ac:dyDescent="0.2">
      <c r="A1161" t="s">
        <v>2375</v>
      </c>
      <c r="B1161" t="s">
        <v>2594</v>
      </c>
      <c r="C1161" t="s">
        <v>2595</v>
      </c>
      <c r="F1161" t="s">
        <v>2357</v>
      </c>
    </row>
    <row r="1162" spans="1:6" x14ac:dyDescent="0.2">
      <c r="A1162" t="s">
        <v>2375</v>
      </c>
      <c r="B1162" t="s">
        <v>2596</v>
      </c>
      <c r="C1162" t="s">
        <v>2597</v>
      </c>
      <c r="F1162" t="s">
        <v>2357</v>
      </c>
    </row>
    <row r="1163" spans="1:6" x14ac:dyDescent="0.2">
      <c r="A1163" t="s">
        <v>2375</v>
      </c>
      <c r="B1163" t="s">
        <v>2598</v>
      </c>
      <c r="C1163" t="s">
        <v>2599</v>
      </c>
      <c r="F1163" t="s">
        <v>2357</v>
      </c>
    </row>
    <row r="1164" spans="1:6" x14ac:dyDescent="0.2">
      <c r="A1164" t="s">
        <v>2375</v>
      </c>
      <c r="B1164" t="s">
        <v>2600</v>
      </c>
      <c r="C1164" t="s">
        <v>2601</v>
      </c>
      <c r="F1164" t="s">
        <v>2357</v>
      </c>
    </row>
    <row r="1165" spans="1:6" x14ac:dyDescent="0.2">
      <c r="A1165" t="s">
        <v>2375</v>
      </c>
      <c r="B1165" t="s">
        <v>2602</v>
      </c>
      <c r="C1165" t="s">
        <v>2603</v>
      </c>
      <c r="F1165" t="s">
        <v>2359</v>
      </c>
    </row>
    <row r="1166" spans="1:6" x14ac:dyDescent="0.2">
      <c r="A1166" t="s">
        <v>2375</v>
      </c>
      <c r="B1166" t="s">
        <v>2604</v>
      </c>
      <c r="C1166" t="s">
        <v>2605</v>
      </c>
      <c r="F1166" t="s">
        <v>2359</v>
      </c>
    </row>
    <row r="1167" spans="1:6" x14ac:dyDescent="0.2">
      <c r="A1167" t="s">
        <v>2375</v>
      </c>
      <c r="B1167" t="s">
        <v>2606</v>
      </c>
      <c r="C1167" t="s">
        <v>2607</v>
      </c>
      <c r="F1167" t="s">
        <v>2359</v>
      </c>
    </row>
    <row r="1168" spans="1:6" x14ac:dyDescent="0.2">
      <c r="A1168" t="s">
        <v>2375</v>
      </c>
      <c r="B1168" t="s">
        <v>2608</v>
      </c>
      <c r="C1168" t="s">
        <v>2609</v>
      </c>
      <c r="F1168" t="s">
        <v>2359</v>
      </c>
    </row>
    <row r="1169" spans="1:6" x14ac:dyDescent="0.2">
      <c r="A1169" t="s">
        <v>2375</v>
      </c>
      <c r="B1169" t="s">
        <v>2610</v>
      </c>
      <c r="C1169" t="s">
        <v>2489</v>
      </c>
      <c r="F1169" t="s">
        <v>2359</v>
      </c>
    </row>
    <row r="1170" spans="1:6" x14ac:dyDescent="0.2">
      <c r="A1170" t="s">
        <v>2375</v>
      </c>
      <c r="B1170" t="s">
        <v>2611</v>
      </c>
      <c r="C1170" t="s">
        <v>2612</v>
      </c>
      <c r="F1170" t="s">
        <v>2359</v>
      </c>
    </row>
    <row r="1171" spans="1:6" x14ac:dyDescent="0.2">
      <c r="A1171" t="s">
        <v>2375</v>
      </c>
      <c r="B1171" t="s">
        <v>2613</v>
      </c>
      <c r="C1171" t="s">
        <v>2614</v>
      </c>
      <c r="F1171" t="s">
        <v>2359</v>
      </c>
    </row>
    <row r="1172" spans="1:6" x14ac:dyDescent="0.2">
      <c r="A1172" t="s">
        <v>2375</v>
      </c>
      <c r="B1172" t="s">
        <v>2615</v>
      </c>
      <c r="C1172" t="s">
        <v>2360</v>
      </c>
      <c r="F1172" t="s">
        <v>2359</v>
      </c>
    </row>
    <row r="1173" spans="1:6" x14ac:dyDescent="0.2">
      <c r="A1173" t="s">
        <v>2375</v>
      </c>
      <c r="B1173" t="s">
        <v>2616</v>
      </c>
      <c r="C1173" t="s">
        <v>2617</v>
      </c>
      <c r="F1173" t="s">
        <v>2359</v>
      </c>
    </row>
    <row r="1174" spans="1:6" x14ac:dyDescent="0.2">
      <c r="A1174" t="s">
        <v>2375</v>
      </c>
      <c r="B1174" t="s">
        <v>2618</v>
      </c>
      <c r="C1174" t="s">
        <v>2619</v>
      </c>
      <c r="F1174" t="s">
        <v>2359</v>
      </c>
    </row>
    <row r="1175" spans="1:6" x14ac:dyDescent="0.2">
      <c r="A1175" t="s">
        <v>2375</v>
      </c>
      <c r="B1175" t="s">
        <v>2620</v>
      </c>
      <c r="C1175" t="s">
        <v>2621</v>
      </c>
      <c r="F1175" t="s">
        <v>2359</v>
      </c>
    </row>
    <row r="1176" spans="1:6" x14ac:dyDescent="0.2">
      <c r="A1176" t="s">
        <v>2375</v>
      </c>
      <c r="B1176" t="s">
        <v>2622</v>
      </c>
      <c r="C1176" t="s">
        <v>2623</v>
      </c>
      <c r="F1176" t="s">
        <v>2359</v>
      </c>
    </row>
    <row r="1177" spans="1:6" x14ac:dyDescent="0.2">
      <c r="A1177" t="s">
        <v>2375</v>
      </c>
      <c r="B1177" t="s">
        <v>2624</v>
      </c>
      <c r="C1177" t="s">
        <v>2625</v>
      </c>
      <c r="F1177" t="s">
        <v>2359</v>
      </c>
    </row>
    <row r="1178" spans="1:6" x14ac:dyDescent="0.2">
      <c r="A1178" t="s">
        <v>2375</v>
      </c>
      <c r="B1178" t="s">
        <v>2626</v>
      </c>
      <c r="C1178" t="s">
        <v>2627</v>
      </c>
      <c r="F1178" t="s">
        <v>2359</v>
      </c>
    </row>
    <row r="1179" spans="1:6" x14ac:dyDescent="0.2">
      <c r="A1179" t="s">
        <v>2375</v>
      </c>
      <c r="B1179" t="s">
        <v>2628</v>
      </c>
      <c r="C1179" t="s">
        <v>2629</v>
      </c>
      <c r="F1179" t="s">
        <v>2359</v>
      </c>
    </row>
    <row r="1180" spans="1:6" x14ac:dyDescent="0.2">
      <c r="A1180" t="s">
        <v>2375</v>
      </c>
      <c r="B1180" t="s">
        <v>2630</v>
      </c>
      <c r="C1180" t="s">
        <v>2631</v>
      </c>
      <c r="F1180" t="s">
        <v>2359</v>
      </c>
    </row>
    <row r="1181" spans="1:6" x14ac:dyDescent="0.2">
      <c r="A1181" t="s">
        <v>2375</v>
      </c>
      <c r="B1181" t="s">
        <v>2632</v>
      </c>
      <c r="C1181" t="s">
        <v>2633</v>
      </c>
      <c r="F1181" t="s">
        <v>2359</v>
      </c>
    </row>
    <row r="1182" spans="1:6" x14ac:dyDescent="0.2">
      <c r="A1182" t="s">
        <v>2375</v>
      </c>
      <c r="B1182" t="s">
        <v>2634</v>
      </c>
      <c r="C1182" t="s">
        <v>2635</v>
      </c>
      <c r="F1182" t="s">
        <v>2359</v>
      </c>
    </row>
    <row r="1183" spans="1:6" x14ac:dyDescent="0.2">
      <c r="A1183" t="s">
        <v>2375</v>
      </c>
      <c r="B1183" t="s">
        <v>2636</v>
      </c>
      <c r="C1183" t="s">
        <v>2637</v>
      </c>
      <c r="F1183" t="s">
        <v>2361</v>
      </c>
    </row>
    <row r="1184" spans="1:6" x14ac:dyDescent="0.2">
      <c r="A1184" t="s">
        <v>2375</v>
      </c>
      <c r="B1184" t="s">
        <v>2638</v>
      </c>
      <c r="C1184" t="s">
        <v>2639</v>
      </c>
      <c r="F1184" t="s">
        <v>2361</v>
      </c>
    </row>
    <row r="1185" spans="1:6" x14ac:dyDescent="0.2">
      <c r="A1185" t="s">
        <v>2375</v>
      </c>
      <c r="B1185" t="s">
        <v>2640</v>
      </c>
      <c r="C1185" t="s">
        <v>2641</v>
      </c>
      <c r="F1185" t="s">
        <v>2361</v>
      </c>
    </row>
    <row r="1186" spans="1:6" x14ac:dyDescent="0.2">
      <c r="A1186" t="s">
        <v>2375</v>
      </c>
      <c r="B1186" t="s">
        <v>2642</v>
      </c>
      <c r="C1186" t="s">
        <v>2643</v>
      </c>
      <c r="F1186" t="s">
        <v>2361</v>
      </c>
    </row>
    <row r="1187" spans="1:6" x14ac:dyDescent="0.2">
      <c r="A1187" t="s">
        <v>2375</v>
      </c>
      <c r="B1187" t="s">
        <v>2644</v>
      </c>
      <c r="C1187" t="s">
        <v>2645</v>
      </c>
      <c r="F1187" t="s">
        <v>2361</v>
      </c>
    </row>
    <row r="1188" spans="1:6" x14ac:dyDescent="0.2">
      <c r="A1188" t="s">
        <v>2375</v>
      </c>
      <c r="B1188" t="s">
        <v>2646</v>
      </c>
      <c r="C1188" t="s">
        <v>2647</v>
      </c>
      <c r="F1188" t="s">
        <v>2361</v>
      </c>
    </row>
    <row r="1189" spans="1:6" x14ac:dyDescent="0.2">
      <c r="A1189" t="s">
        <v>2375</v>
      </c>
      <c r="B1189" t="s">
        <v>2648</v>
      </c>
      <c r="C1189" t="s">
        <v>2491</v>
      </c>
      <c r="F1189" t="s">
        <v>2361</v>
      </c>
    </row>
    <row r="1190" spans="1:6" x14ac:dyDescent="0.2">
      <c r="A1190" t="s">
        <v>2375</v>
      </c>
      <c r="B1190" t="s">
        <v>2649</v>
      </c>
      <c r="C1190" t="s">
        <v>2650</v>
      </c>
      <c r="F1190" t="s">
        <v>2361</v>
      </c>
    </row>
    <row r="1191" spans="1:6" x14ac:dyDescent="0.2">
      <c r="A1191" t="s">
        <v>2375</v>
      </c>
      <c r="B1191" t="s">
        <v>2651</v>
      </c>
      <c r="C1191" t="s">
        <v>2652</v>
      </c>
      <c r="F1191" t="s">
        <v>2361</v>
      </c>
    </row>
    <row r="1192" spans="1:6" x14ac:dyDescent="0.2">
      <c r="A1192" t="s">
        <v>2375</v>
      </c>
      <c r="B1192" t="s">
        <v>2653</v>
      </c>
      <c r="C1192" t="s">
        <v>2654</v>
      </c>
      <c r="F1192" t="s">
        <v>2361</v>
      </c>
    </row>
    <row r="1193" spans="1:6" x14ac:dyDescent="0.2">
      <c r="A1193" t="s">
        <v>2375</v>
      </c>
      <c r="B1193" t="s">
        <v>2655</v>
      </c>
      <c r="C1193" t="s">
        <v>2656</v>
      </c>
      <c r="F1193" t="s">
        <v>2361</v>
      </c>
    </row>
    <row r="1194" spans="1:6" x14ac:dyDescent="0.2">
      <c r="A1194" t="s">
        <v>2375</v>
      </c>
      <c r="B1194" t="s">
        <v>2657</v>
      </c>
      <c r="C1194" t="s">
        <v>2658</v>
      </c>
      <c r="F1194" t="s">
        <v>2361</v>
      </c>
    </row>
    <row r="1195" spans="1:6" x14ac:dyDescent="0.2">
      <c r="A1195" t="s">
        <v>2375</v>
      </c>
      <c r="B1195" t="s">
        <v>2659</v>
      </c>
      <c r="C1195" t="s">
        <v>2660</v>
      </c>
      <c r="F1195" t="s">
        <v>2361</v>
      </c>
    </row>
    <row r="1196" spans="1:6" x14ac:dyDescent="0.2">
      <c r="A1196" t="s">
        <v>2375</v>
      </c>
      <c r="B1196" t="s">
        <v>2661</v>
      </c>
      <c r="C1196" t="s">
        <v>2662</v>
      </c>
      <c r="F1196" t="s">
        <v>2361</v>
      </c>
    </row>
    <row r="1197" spans="1:6" x14ac:dyDescent="0.2">
      <c r="A1197" t="s">
        <v>2375</v>
      </c>
      <c r="B1197" t="s">
        <v>2663</v>
      </c>
      <c r="C1197" t="s">
        <v>2664</v>
      </c>
      <c r="F1197" t="s">
        <v>2361</v>
      </c>
    </row>
    <row r="1198" spans="1:6" x14ac:dyDescent="0.2">
      <c r="A1198" t="s">
        <v>2375</v>
      </c>
      <c r="B1198" t="s">
        <v>2665</v>
      </c>
      <c r="C1198" t="s">
        <v>2666</v>
      </c>
      <c r="F1198" t="s">
        <v>2361</v>
      </c>
    </row>
    <row r="1199" spans="1:6" x14ac:dyDescent="0.2">
      <c r="A1199" t="s">
        <v>2375</v>
      </c>
      <c r="B1199" t="s">
        <v>2667</v>
      </c>
      <c r="C1199" t="s">
        <v>2668</v>
      </c>
      <c r="F1199" t="s">
        <v>2361</v>
      </c>
    </row>
    <row r="1200" spans="1:6" x14ac:dyDescent="0.2">
      <c r="A1200" t="s">
        <v>2375</v>
      </c>
      <c r="B1200" t="s">
        <v>2669</v>
      </c>
      <c r="C1200" t="s">
        <v>2459</v>
      </c>
      <c r="F1200" t="s">
        <v>2361</v>
      </c>
    </row>
    <row r="1201" spans="1:6" x14ac:dyDescent="0.2">
      <c r="A1201" t="s">
        <v>2375</v>
      </c>
      <c r="B1201" t="s">
        <v>2670</v>
      </c>
      <c r="C1201" t="s">
        <v>2671</v>
      </c>
      <c r="F1201" t="s">
        <v>2361</v>
      </c>
    </row>
    <row r="1202" spans="1:6" x14ac:dyDescent="0.2">
      <c r="A1202" t="s">
        <v>2375</v>
      </c>
      <c r="B1202" t="s">
        <v>2672</v>
      </c>
      <c r="C1202" t="s">
        <v>2408</v>
      </c>
      <c r="F1202" t="s">
        <v>2361</v>
      </c>
    </row>
    <row r="1203" spans="1:6" x14ac:dyDescent="0.2">
      <c r="A1203" t="s">
        <v>2375</v>
      </c>
      <c r="B1203" t="s">
        <v>2673</v>
      </c>
      <c r="C1203" t="s">
        <v>2674</v>
      </c>
      <c r="F1203" t="s">
        <v>2361</v>
      </c>
    </row>
    <row r="1204" spans="1:6" x14ac:dyDescent="0.2">
      <c r="A1204" t="s">
        <v>2375</v>
      </c>
      <c r="B1204" t="s">
        <v>2675</v>
      </c>
      <c r="C1204" t="s">
        <v>2676</v>
      </c>
      <c r="F1204" t="s">
        <v>2361</v>
      </c>
    </row>
    <row r="1205" spans="1:6" x14ac:dyDescent="0.2">
      <c r="A1205" t="s">
        <v>2375</v>
      </c>
      <c r="B1205" t="s">
        <v>2677</v>
      </c>
      <c r="C1205" t="s">
        <v>2678</v>
      </c>
      <c r="F1205" t="s">
        <v>2361</v>
      </c>
    </row>
    <row r="1206" spans="1:6" x14ac:dyDescent="0.2">
      <c r="A1206" t="s">
        <v>2375</v>
      </c>
      <c r="B1206" t="s">
        <v>2679</v>
      </c>
      <c r="C1206" t="s">
        <v>2680</v>
      </c>
      <c r="F1206" t="s">
        <v>2361</v>
      </c>
    </row>
    <row r="1207" spans="1:6" x14ac:dyDescent="0.2">
      <c r="A1207" t="s">
        <v>2375</v>
      </c>
      <c r="B1207" t="s">
        <v>2681</v>
      </c>
      <c r="C1207" t="s">
        <v>2682</v>
      </c>
      <c r="F1207" t="s">
        <v>2361</v>
      </c>
    </row>
    <row r="1208" spans="1:6" x14ac:dyDescent="0.2">
      <c r="A1208" t="s">
        <v>2375</v>
      </c>
      <c r="B1208" t="s">
        <v>2683</v>
      </c>
      <c r="C1208" t="s">
        <v>2684</v>
      </c>
      <c r="F1208" t="s">
        <v>2361</v>
      </c>
    </row>
    <row r="1209" spans="1:6" x14ac:dyDescent="0.2">
      <c r="A1209" t="s">
        <v>2375</v>
      </c>
      <c r="B1209" t="s">
        <v>2685</v>
      </c>
      <c r="C1209" t="s">
        <v>2686</v>
      </c>
      <c r="F1209" t="s">
        <v>2363</v>
      </c>
    </row>
    <row r="1210" spans="1:6" x14ac:dyDescent="0.2">
      <c r="A1210" t="s">
        <v>2375</v>
      </c>
      <c r="B1210" t="s">
        <v>2687</v>
      </c>
      <c r="C1210" t="s">
        <v>2688</v>
      </c>
      <c r="F1210" t="s">
        <v>2363</v>
      </c>
    </row>
    <row r="1211" spans="1:6" x14ac:dyDescent="0.2">
      <c r="A1211" t="s">
        <v>2375</v>
      </c>
      <c r="B1211" t="s">
        <v>2689</v>
      </c>
      <c r="C1211" t="s">
        <v>2690</v>
      </c>
      <c r="F1211" t="s">
        <v>2363</v>
      </c>
    </row>
    <row r="1212" spans="1:6" x14ac:dyDescent="0.2">
      <c r="A1212" t="s">
        <v>2375</v>
      </c>
      <c r="B1212" t="s">
        <v>2691</v>
      </c>
      <c r="C1212" t="s">
        <v>2692</v>
      </c>
      <c r="F1212" t="s">
        <v>2363</v>
      </c>
    </row>
    <row r="1213" spans="1:6" x14ac:dyDescent="0.2">
      <c r="A1213" t="s">
        <v>2375</v>
      </c>
      <c r="B1213" t="s">
        <v>2693</v>
      </c>
      <c r="C1213" t="s">
        <v>2694</v>
      </c>
      <c r="F1213" t="s">
        <v>2363</v>
      </c>
    </row>
    <row r="1214" spans="1:6" x14ac:dyDescent="0.2">
      <c r="A1214" t="s">
        <v>2375</v>
      </c>
      <c r="B1214" t="s">
        <v>2695</v>
      </c>
      <c r="C1214" t="s">
        <v>2696</v>
      </c>
      <c r="F1214" t="s">
        <v>2363</v>
      </c>
    </row>
    <row r="1215" spans="1:6" x14ac:dyDescent="0.2">
      <c r="A1215" t="s">
        <v>2375</v>
      </c>
      <c r="B1215" t="s">
        <v>2697</v>
      </c>
      <c r="C1215" t="s">
        <v>2698</v>
      </c>
      <c r="F1215" t="s">
        <v>2363</v>
      </c>
    </row>
    <row r="1216" spans="1:6" x14ac:dyDescent="0.2">
      <c r="A1216" t="s">
        <v>2375</v>
      </c>
      <c r="B1216" t="s">
        <v>2699</v>
      </c>
      <c r="C1216" t="s">
        <v>2700</v>
      </c>
      <c r="F1216" t="s">
        <v>2363</v>
      </c>
    </row>
    <row r="1217" spans="1:6" x14ac:dyDescent="0.2">
      <c r="A1217" t="s">
        <v>2375</v>
      </c>
      <c r="B1217" t="s">
        <v>2701</v>
      </c>
      <c r="C1217" t="s">
        <v>2702</v>
      </c>
      <c r="F1217" t="s">
        <v>2363</v>
      </c>
    </row>
    <row r="1218" spans="1:6" x14ac:dyDescent="0.2">
      <c r="A1218" t="s">
        <v>2375</v>
      </c>
      <c r="B1218" t="s">
        <v>2703</v>
      </c>
      <c r="C1218" t="s">
        <v>2704</v>
      </c>
      <c r="F1218" t="s">
        <v>2363</v>
      </c>
    </row>
    <row r="1219" spans="1:6" x14ac:dyDescent="0.2">
      <c r="A1219" t="s">
        <v>2375</v>
      </c>
      <c r="B1219" t="s">
        <v>2705</v>
      </c>
      <c r="C1219" t="s">
        <v>2706</v>
      </c>
      <c r="F1219" t="s">
        <v>2363</v>
      </c>
    </row>
    <row r="1220" spans="1:6" x14ac:dyDescent="0.2">
      <c r="A1220" t="s">
        <v>2375</v>
      </c>
      <c r="B1220" t="s">
        <v>2707</v>
      </c>
      <c r="C1220" t="s">
        <v>2708</v>
      </c>
      <c r="F1220" t="s">
        <v>2363</v>
      </c>
    </row>
    <row r="1221" spans="1:6" x14ac:dyDescent="0.2">
      <c r="A1221" t="s">
        <v>2375</v>
      </c>
      <c r="B1221" t="s">
        <v>2709</v>
      </c>
      <c r="C1221" t="s">
        <v>2710</v>
      </c>
      <c r="F1221" t="s">
        <v>2363</v>
      </c>
    </row>
    <row r="1222" spans="1:6" x14ac:dyDescent="0.2">
      <c r="A1222" t="s">
        <v>2375</v>
      </c>
      <c r="B1222" t="s">
        <v>2711</v>
      </c>
      <c r="C1222" t="s">
        <v>2712</v>
      </c>
      <c r="F1222" t="s">
        <v>2363</v>
      </c>
    </row>
    <row r="1223" spans="1:6" x14ac:dyDescent="0.2">
      <c r="A1223" t="s">
        <v>2375</v>
      </c>
      <c r="B1223" t="s">
        <v>2713</v>
      </c>
      <c r="C1223" t="s">
        <v>2714</v>
      </c>
      <c r="F1223" t="s">
        <v>2363</v>
      </c>
    </row>
    <row r="1224" spans="1:6" x14ac:dyDescent="0.2">
      <c r="A1224" t="s">
        <v>2375</v>
      </c>
      <c r="B1224" t="s">
        <v>2715</v>
      </c>
      <c r="C1224" t="s">
        <v>2716</v>
      </c>
      <c r="F1224" t="s">
        <v>2363</v>
      </c>
    </row>
    <row r="1225" spans="1:6" x14ac:dyDescent="0.2">
      <c r="A1225" t="s">
        <v>2375</v>
      </c>
      <c r="B1225" t="s">
        <v>2717</v>
      </c>
      <c r="C1225" t="s">
        <v>2364</v>
      </c>
      <c r="F1225" t="s">
        <v>2363</v>
      </c>
    </row>
    <row r="1226" spans="1:6" x14ac:dyDescent="0.2">
      <c r="A1226" t="s">
        <v>2375</v>
      </c>
      <c r="B1226" t="s">
        <v>2718</v>
      </c>
      <c r="C1226" t="s">
        <v>2477</v>
      </c>
      <c r="F1226" t="s">
        <v>2363</v>
      </c>
    </row>
    <row r="1227" spans="1:6" x14ac:dyDescent="0.2">
      <c r="A1227" t="s">
        <v>2375</v>
      </c>
      <c r="B1227" t="s">
        <v>2719</v>
      </c>
      <c r="C1227" t="s">
        <v>2720</v>
      </c>
      <c r="F1227" t="s">
        <v>2363</v>
      </c>
    </row>
    <row r="1228" spans="1:6" x14ac:dyDescent="0.2">
      <c r="A1228" t="s">
        <v>2375</v>
      </c>
      <c r="B1228" t="s">
        <v>2721</v>
      </c>
      <c r="C1228" t="s">
        <v>2722</v>
      </c>
      <c r="F1228" t="s">
        <v>2363</v>
      </c>
    </row>
    <row r="1229" spans="1:6" x14ac:dyDescent="0.2">
      <c r="A1229" t="s">
        <v>2375</v>
      </c>
      <c r="B1229" t="s">
        <v>2723</v>
      </c>
      <c r="C1229" t="s">
        <v>2724</v>
      </c>
      <c r="F1229" t="s">
        <v>2365</v>
      </c>
    </row>
    <row r="1230" spans="1:6" x14ac:dyDescent="0.2">
      <c r="A1230" t="s">
        <v>2375</v>
      </c>
      <c r="B1230" t="s">
        <v>2725</v>
      </c>
      <c r="C1230" t="s">
        <v>2726</v>
      </c>
      <c r="F1230" t="s">
        <v>2365</v>
      </c>
    </row>
    <row r="1231" spans="1:6" x14ac:dyDescent="0.2">
      <c r="A1231" t="s">
        <v>2375</v>
      </c>
      <c r="B1231" t="s">
        <v>2727</v>
      </c>
      <c r="C1231" t="s">
        <v>2728</v>
      </c>
      <c r="F1231" t="s">
        <v>2365</v>
      </c>
    </row>
    <row r="1232" spans="1:6" x14ac:dyDescent="0.2">
      <c r="A1232" t="s">
        <v>2375</v>
      </c>
      <c r="B1232" t="s">
        <v>2729</v>
      </c>
      <c r="C1232" t="s">
        <v>2730</v>
      </c>
      <c r="F1232" t="s">
        <v>2365</v>
      </c>
    </row>
    <row r="1233" spans="1:6" x14ac:dyDescent="0.2">
      <c r="A1233" t="s">
        <v>2375</v>
      </c>
      <c r="B1233" t="s">
        <v>2731</v>
      </c>
      <c r="C1233" t="s">
        <v>2732</v>
      </c>
      <c r="F1233" t="s">
        <v>2365</v>
      </c>
    </row>
    <row r="1234" spans="1:6" x14ac:dyDescent="0.2">
      <c r="A1234" t="s">
        <v>2375</v>
      </c>
      <c r="B1234" t="s">
        <v>2733</v>
      </c>
      <c r="C1234" t="s">
        <v>2734</v>
      </c>
      <c r="F1234" t="s">
        <v>2365</v>
      </c>
    </row>
    <row r="1235" spans="1:6" x14ac:dyDescent="0.2">
      <c r="A1235" t="s">
        <v>2375</v>
      </c>
      <c r="B1235" t="s">
        <v>2735</v>
      </c>
      <c r="C1235" t="s">
        <v>2736</v>
      </c>
      <c r="F1235" t="s">
        <v>2365</v>
      </c>
    </row>
    <row r="1236" spans="1:6" x14ac:dyDescent="0.2">
      <c r="A1236" t="s">
        <v>2375</v>
      </c>
      <c r="B1236" t="s">
        <v>2737</v>
      </c>
      <c r="C1236" t="s">
        <v>2738</v>
      </c>
      <c r="F1236" t="s">
        <v>2365</v>
      </c>
    </row>
    <row r="1237" spans="1:6" x14ac:dyDescent="0.2">
      <c r="A1237" t="s">
        <v>2375</v>
      </c>
      <c r="B1237" t="s">
        <v>2739</v>
      </c>
      <c r="C1237" t="s">
        <v>2740</v>
      </c>
      <c r="F1237" t="s">
        <v>2365</v>
      </c>
    </row>
    <row r="1238" spans="1:6" x14ac:dyDescent="0.2">
      <c r="A1238" t="s">
        <v>2375</v>
      </c>
      <c r="B1238" t="s">
        <v>2741</v>
      </c>
      <c r="C1238" t="s">
        <v>2742</v>
      </c>
      <c r="F1238" t="s">
        <v>2365</v>
      </c>
    </row>
    <row r="1239" spans="1:6" x14ac:dyDescent="0.2">
      <c r="A1239" t="s">
        <v>2375</v>
      </c>
      <c r="B1239" t="s">
        <v>2743</v>
      </c>
      <c r="C1239" t="s">
        <v>2744</v>
      </c>
      <c r="F1239" t="s">
        <v>2365</v>
      </c>
    </row>
    <row r="1240" spans="1:6" x14ac:dyDescent="0.2">
      <c r="A1240" t="s">
        <v>2375</v>
      </c>
      <c r="B1240" t="s">
        <v>2745</v>
      </c>
      <c r="C1240" t="s">
        <v>2746</v>
      </c>
      <c r="F1240" t="s">
        <v>2365</v>
      </c>
    </row>
    <row r="1241" spans="1:6" x14ac:dyDescent="0.2">
      <c r="A1241" t="s">
        <v>2375</v>
      </c>
      <c r="B1241" t="s">
        <v>2747</v>
      </c>
      <c r="C1241" t="s">
        <v>2748</v>
      </c>
      <c r="F1241" t="s">
        <v>2365</v>
      </c>
    </row>
    <row r="1242" spans="1:6" x14ac:dyDescent="0.2">
      <c r="A1242" t="s">
        <v>2375</v>
      </c>
      <c r="B1242" t="s">
        <v>2749</v>
      </c>
      <c r="C1242" t="s">
        <v>2366</v>
      </c>
      <c r="F1242" t="s">
        <v>2365</v>
      </c>
    </row>
    <row r="1243" spans="1:6" x14ac:dyDescent="0.2">
      <c r="A1243" t="s">
        <v>2375</v>
      </c>
      <c r="B1243" t="s">
        <v>2750</v>
      </c>
      <c r="C1243" t="s">
        <v>2751</v>
      </c>
      <c r="F1243" t="s">
        <v>2365</v>
      </c>
    </row>
    <row r="1244" spans="1:6" x14ac:dyDescent="0.2">
      <c r="A1244" t="s">
        <v>2375</v>
      </c>
      <c r="B1244" t="s">
        <v>2752</v>
      </c>
      <c r="C1244" t="s">
        <v>2753</v>
      </c>
      <c r="F1244" t="s">
        <v>2365</v>
      </c>
    </row>
    <row r="1245" spans="1:6" x14ac:dyDescent="0.2">
      <c r="A1245" t="s">
        <v>2375</v>
      </c>
      <c r="B1245" t="s">
        <v>2754</v>
      </c>
      <c r="C1245" t="s">
        <v>2755</v>
      </c>
      <c r="F1245" t="s">
        <v>2365</v>
      </c>
    </row>
    <row r="1246" spans="1:6" x14ac:dyDescent="0.2">
      <c r="A1246" t="s">
        <v>2375</v>
      </c>
      <c r="B1246" t="s">
        <v>2756</v>
      </c>
      <c r="C1246" t="s">
        <v>2757</v>
      </c>
      <c r="F1246" t="s">
        <v>2365</v>
      </c>
    </row>
    <row r="1247" spans="1:6" x14ac:dyDescent="0.2">
      <c r="A1247" t="s">
        <v>2375</v>
      </c>
      <c r="B1247" t="s">
        <v>2758</v>
      </c>
      <c r="C1247" t="s">
        <v>2759</v>
      </c>
      <c r="F1247" t="s">
        <v>2365</v>
      </c>
    </row>
    <row r="1248" spans="1:6" x14ac:dyDescent="0.2">
      <c r="A1248" t="s">
        <v>2375</v>
      </c>
      <c r="B1248" t="s">
        <v>2760</v>
      </c>
      <c r="C1248" t="s">
        <v>2761</v>
      </c>
      <c r="F1248" t="s">
        <v>2365</v>
      </c>
    </row>
    <row r="1249" spans="1:6" x14ac:dyDescent="0.2">
      <c r="A1249" t="s">
        <v>2375</v>
      </c>
      <c r="B1249" t="s">
        <v>2762</v>
      </c>
      <c r="C1249" t="s">
        <v>2763</v>
      </c>
      <c r="F1249" t="s">
        <v>2367</v>
      </c>
    </row>
    <row r="1250" spans="1:6" x14ac:dyDescent="0.2">
      <c r="A1250" t="s">
        <v>2375</v>
      </c>
      <c r="B1250" t="s">
        <v>2764</v>
      </c>
      <c r="C1250" t="s">
        <v>2765</v>
      </c>
      <c r="F1250" t="s">
        <v>2367</v>
      </c>
    </row>
    <row r="1251" spans="1:6" x14ac:dyDescent="0.2">
      <c r="A1251" t="s">
        <v>2375</v>
      </c>
      <c r="B1251" t="s">
        <v>2766</v>
      </c>
      <c r="C1251" t="s">
        <v>2767</v>
      </c>
      <c r="F1251" t="s">
        <v>2367</v>
      </c>
    </row>
    <row r="1252" spans="1:6" x14ac:dyDescent="0.2">
      <c r="A1252" t="s">
        <v>2375</v>
      </c>
      <c r="B1252" t="s">
        <v>2768</v>
      </c>
      <c r="C1252" t="s">
        <v>2769</v>
      </c>
      <c r="F1252" t="s">
        <v>2367</v>
      </c>
    </row>
    <row r="1253" spans="1:6" x14ac:dyDescent="0.2">
      <c r="A1253" t="s">
        <v>2375</v>
      </c>
      <c r="B1253" t="s">
        <v>2770</v>
      </c>
      <c r="C1253" t="s">
        <v>2771</v>
      </c>
      <c r="F1253" t="s">
        <v>2367</v>
      </c>
    </row>
    <row r="1254" spans="1:6" x14ac:dyDescent="0.2">
      <c r="A1254" t="s">
        <v>2375</v>
      </c>
      <c r="B1254" t="s">
        <v>2772</v>
      </c>
      <c r="C1254" t="s">
        <v>2392</v>
      </c>
      <c r="F1254" t="s">
        <v>2367</v>
      </c>
    </row>
    <row r="1255" spans="1:6" x14ac:dyDescent="0.2">
      <c r="A1255" t="s">
        <v>2375</v>
      </c>
      <c r="B1255" t="s">
        <v>2773</v>
      </c>
      <c r="C1255" t="s">
        <v>2774</v>
      </c>
      <c r="F1255" t="s">
        <v>2367</v>
      </c>
    </row>
    <row r="1256" spans="1:6" x14ac:dyDescent="0.2">
      <c r="A1256" t="s">
        <v>2375</v>
      </c>
      <c r="B1256" t="s">
        <v>2775</v>
      </c>
      <c r="C1256" t="s">
        <v>2368</v>
      </c>
      <c r="F1256" t="s">
        <v>2367</v>
      </c>
    </row>
    <row r="1257" spans="1:6" x14ac:dyDescent="0.2">
      <c r="A1257" t="s">
        <v>2375</v>
      </c>
      <c r="B1257" t="s">
        <v>2776</v>
      </c>
      <c r="C1257" t="s">
        <v>2777</v>
      </c>
      <c r="F1257" t="s">
        <v>2367</v>
      </c>
    </row>
    <row r="1258" spans="1:6" x14ac:dyDescent="0.2">
      <c r="A1258" t="s">
        <v>2375</v>
      </c>
      <c r="B1258" t="s">
        <v>2778</v>
      </c>
      <c r="C1258" t="s">
        <v>2779</v>
      </c>
      <c r="F1258" t="s">
        <v>2367</v>
      </c>
    </row>
    <row r="1259" spans="1:6" x14ac:dyDescent="0.2">
      <c r="A1259" t="s">
        <v>2375</v>
      </c>
      <c r="B1259" t="s">
        <v>2780</v>
      </c>
      <c r="C1259" t="s">
        <v>2781</v>
      </c>
      <c r="F1259" t="s">
        <v>2367</v>
      </c>
    </row>
    <row r="1260" spans="1:6" x14ac:dyDescent="0.2">
      <c r="A1260" t="s">
        <v>2375</v>
      </c>
      <c r="B1260" t="s">
        <v>2782</v>
      </c>
      <c r="C1260" t="s">
        <v>2783</v>
      </c>
      <c r="F1260" t="s">
        <v>2367</v>
      </c>
    </row>
    <row r="1261" spans="1:6" x14ac:dyDescent="0.2">
      <c r="A1261" t="s">
        <v>2375</v>
      </c>
      <c r="B1261" t="s">
        <v>2784</v>
      </c>
      <c r="C1261" t="s">
        <v>2785</v>
      </c>
      <c r="F1261" t="s">
        <v>2367</v>
      </c>
    </row>
    <row r="1262" spans="1:6" x14ac:dyDescent="0.2">
      <c r="A1262" t="s">
        <v>2375</v>
      </c>
      <c r="B1262" t="s">
        <v>2786</v>
      </c>
      <c r="C1262" t="s">
        <v>2787</v>
      </c>
      <c r="F1262" t="s">
        <v>2369</v>
      </c>
    </row>
    <row r="1263" spans="1:6" x14ac:dyDescent="0.2">
      <c r="A1263" t="s">
        <v>2375</v>
      </c>
      <c r="B1263" t="s">
        <v>2788</v>
      </c>
      <c r="C1263" t="s">
        <v>2789</v>
      </c>
      <c r="F1263" t="s">
        <v>2369</v>
      </c>
    </row>
    <row r="1264" spans="1:6" x14ac:dyDescent="0.2">
      <c r="A1264" t="s">
        <v>2375</v>
      </c>
      <c r="B1264" t="s">
        <v>2790</v>
      </c>
      <c r="C1264" t="s">
        <v>2791</v>
      </c>
      <c r="F1264" t="s">
        <v>2369</v>
      </c>
    </row>
    <row r="1265" spans="1:6" x14ac:dyDescent="0.2">
      <c r="A1265" t="s">
        <v>2375</v>
      </c>
      <c r="B1265" t="s">
        <v>2792</v>
      </c>
      <c r="C1265" t="s">
        <v>2793</v>
      </c>
      <c r="F1265" t="s">
        <v>2369</v>
      </c>
    </row>
    <row r="1266" spans="1:6" x14ac:dyDescent="0.2">
      <c r="A1266" t="s">
        <v>2375</v>
      </c>
      <c r="B1266" t="s">
        <v>2794</v>
      </c>
      <c r="C1266" t="s">
        <v>2795</v>
      </c>
      <c r="F1266" t="s">
        <v>2369</v>
      </c>
    </row>
    <row r="1267" spans="1:6" x14ac:dyDescent="0.2">
      <c r="A1267" t="s">
        <v>2375</v>
      </c>
      <c r="B1267" t="s">
        <v>2796</v>
      </c>
      <c r="C1267" t="s">
        <v>2797</v>
      </c>
      <c r="F1267" t="s">
        <v>2369</v>
      </c>
    </row>
    <row r="1268" spans="1:6" x14ac:dyDescent="0.2">
      <c r="A1268" t="s">
        <v>2375</v>
      </c>
      <c r="B1268" t="s">
        <v>2798</v>
      </c>
      <c r="C1268" t="s">
        <v>2799</v>
      </c>
      <c r="F1268" t="s">
        <v>2369</v>
      </c>
    </row>
    <row r="1269" spans="1:6" x14ac:dyDescent="0.2">
      <c r="A1269" t="s">
        <v>2375</v>
      </c>
      <c r="B1269" t="s">
        <v>2800</v>
      </c>
      <c r="C1269" t="s">
        <v>2801</v>
      </c>
      <c r="F1269" t="s">
        <v>2369</v>
      </c>
    </row>
    <row r="1270" spans="1:6" x14ac:dyDescent="0.2">
      <c r="A1270" t="s">
        <v>2375</v>
      </c>
      <c r="B1270" t="s">
        <v>2802</v>
      </c>
      <c r="C1270" t="s">
        <v>2803</v>
      </c>
      <c r="F1270" t="s">
        <v>2369</v>
      </c>
    </row>
    <row r="1271" spans="1:6" x14ac:dyDescent="0.2">
      <c r="A1271" t="s">
        <v>2375</v>
      </c>
      <c r="B1271" t="s">
        <v>2804</v>
      </c>
      <c r="C1271" t="s">
        <v>2370</v>
      </c>
      <c r="F1271" t="s">
        <v>2369</v>
      </c>
    </row>
    <row r="1272" spans="1:6" x14ac:dyDescent="0.2">
      <c r="A1272" t="s">
        <v>2375</v>
      </c>
      <c r="B1272" t="s">
        <v>2805</v>
      </c>
      <c r="C1272" t="s">
        <v>2806</v>
      </c>
      <c r="F1272" t="s">
        <v>2369</v>
      </c>
    </row>
    <row r="1273" spans="1:6" x14ac:dyDescent="0.2">
      <c r="A1273" t="s">
        <v>2375</v>
      </c>
      <c r="B1273" t="s">
        <v>2807</v>
      </c>
      <c r="C1273" t="s">
        <v>2808</v>
      </c>
      <c r="F1273" t="s">
        <v>2369</v>
      </c>
    </row>
    <row r="1274" spans="1:6" x14ac:dyDescent="0.2">
      <c r="A1274" t="s">
        <v>2375</v>
      </c>
      <c r="B1274" t="s">
        <v>2809</v>
      </c>
      <c r="C1274" t="s">
        <v>2810</v>
      </c>
      <c r="F1274" t="s">
        <v>2369</v>
      </c>
    </row>
    <row r="1275" spans="1:6" x14ac:dyDescent="0.2">
      <c r="A1275" t="s">
        <v>2375</v>
      </c>
      <c r="B1275" t="s">
        <v>2811</v>
      </c>
      <c r="C1275" t="s">
        <v>2812</v>
      </c>
      <c r="F1275" t="s">
        <v>2369</v>
      </c>
    </row>
    <row r="1276" spans="1:6" x14ac:dyDescent="0.2">
      <c r="A1276" t="s">
        <v>2375</v>
      </c>
      <c r="B1276" t="s">
        <v>2813</v>
      </c>
      <c r="C1276" t="s">
        <v>2814</v>
      </c>
      <c r="F1276" t="s">
        <v>2369</v>
      </c>
    </row>
    <row r="1277" spans="1:6" x14ac:dyDescent="0.2">
      <c r="A1277" t="s">
        <v>2375</v>
      </c>
      <c r="B1277" t="s">
        <v>2815</v>
      </c>
      <c r="C1277" t="s">
        <v>2816</v>
      </c>
      <c r="F1277" t="s">
        <v>2371</v>
      </c>
    </row>
    <row r="1278" spans="1:6" x14ac:dyDescent="0.2">
      <c r="A1278" t="s">
        <v>2375</v>
      </c>
      <c r="B1278" t="s">
        <v>2817</v>
      </c>
      <c r="C1278" t="s">
        <v>2818</v>
      </c>
      <c r="F1278" t="s">
        <v>2371</v>
      </c>
    </row>
    <row r="1279" spans="1:6" x14ac:dyDescent="0.2">
      <c r="A1279" t="s">
        <v>2375</v>
      </c>
      <c r="B1279" t="s">
        <v>2819</v>
      </c>
      <c r="C1279" t="s">
        <v>2820</v>
      </c>
      <c r="F1279" t="s">
        <v>2371</v>
      </c>
    </row>
    <row r="1280" spans="1:6" x14ac:dyDescent="0.2">
      <c r="A1280" t="s">
        <v>2375</v>
      </c>
      <c r="B1280" t="s">
        <v>2821</v>
      </c>
      <c r="C1280" t="s">
        <v>2822</v>
      </c>
      <c r="F1280" t="s">
        <v>2371</v>
      </c>
    </row>
    <row r="1281" spans="1:6" x14ac:dyDescent="0.2">
      <c r="A1281" t="s">
        <v>2375</v>
      </c>
      <c r="B1281" t="s">
        <v>2823</v>
      </c>
      <c r="C1281" t="s">
        <v>2824</v>
      </c>
      <c r="F1281" t="s">
        <v>2371</v>
      </c>
    </row>
    <row r="1282" spans="1:6" x14ac:dyDescent="0.2">
      <c r="A1282" t="s">
        <v>2375</v>
      </c>
      <c r="B1282" t="s">
        <v>2825</v>
      </c>
      <c r="C1282" t="s">
        <v>2826</v>
      </c>
      <c r="F1282" t="s">
        <v>2371</v>
      </c>
    </row>
    <row r="1283" spans="1:6" x14ac:dyDescent="0.2">
      <c r="A1283" t="s">
        <v>2375</v>
      </c>
      <c r="B1283" t="s">
        <v>2827</v>
      </c>
      <c r="C1283" t="s">
        <v>2828</v>
      </c>
      <c r="F1283" t="s">
        <v>2371</v>
      </c>
    </row>
    <row r="1284" spans="1:6" x14ac:dyDescent="0.2">
      <c r="A1284" t="s">
        <v>2375</v>
      </c>
      <c r="B1284" t="s">
        <v>2829</v>
      </c>
      <c r="C1284" t="s">
        <v>2830</v>
      </c>
      <c r="F1284" t="s">
        <v>2371</v>
      </c>
    </row>
    <row r="1285" spans="1:6" x14ac:dyDescent="0.2">
      <c r="A1285" t="s">
        <v>2375</v>
      </c>
      <c r="B1285" t="s">
        <v>2831</v>
      </c>
      <c r="C1285" t="s">
        <v>2832</v>
      </c>
      <c r="F1285" t="s">
        <v>2371</v>
      </c>
    </row>
    <row r="1286" spans="1:6" x14ac:dyDescent="0.2">
      <c r="A1286" t="s">
        <v>2375</v>
      </c>
      <c r="B1286" t="s">
        <v>2833</v>
      </c>
      <c r="C1286" t="s">
        <v>2834</v>
      </c>
      <c r="F1286" t="s">
        <v>2371</v>
      </c>
    </row>
    <row r="1287" spans="1:6" x14ac:dyDescent="0.2">
      <c r="A1287" t="s">
        <v>2375</v>
      </c>
      <c r="B1287" t="s">
        <v>2835</v>
      </c>
      <c r="C1287" t="s">
        <v>2836</v>
      </c>
      <c r="F1287" t="s">
        <v>2371</v>
      </c>
    </row>
    <row r="1288" spans="1:6" x14ac:dyDescent="0.2">
      <c r="A1288" t="s">
        <v>2375</v>
      </c>
      <c r="B1288" t="s">
        <v>2837</v>
      </c>
      <c r="C1288" t="s">
        <v>2838</v>
      </c>
      <c r="F1288" t="s">
        <v>2371</v>
      </c>
    </row>
    <row r="1289" spans="1:6" x14ac:dyDescent="0.2">
      <c r="A1289" t="s">
        <v>2375</v>
      </c>
      <c r="B1289" t="s">
        <v>2839</v>
      </c>
      <c r="C1289" t="s">
        <v>2840</v>
      </c>
      <c r="F1289" t="s">
        <v>2371</v>
      </c>
    </row>
    <row r="1290" spans="1:6" x14ac:dyDescent="0.2">
      <c r="A1290" t="s">
        <v>2375</v>
      </c>
      <c r="B1290" t="s">
        <v>2841</v>
      </c>
      <c r="C1290" t="s">
        <v>2779</v>
      </c>
      <c r="F1290" t="s">
        <v>2371</v>
      </c>
    </row>
    <row r="1291" spans="1:6" x14ac:dyDescent="0.2">
      <c r="A1291" t="s">
        <v>2375</v>
      </c>
      <c r="B1291" t="s">
        <v>2842</v>
      </c>
      <c r="C1291" t="s">
        <v>2372</v>
      </c>
      <c r="F1291" t="s">
        <v>2371</v>
      </c>
    </row>
    <row r="1292" spans="1:6" x14ac:dyDescent="0.2">
      <c r="A1292" t="s">
        <v>2375</v>
      </c>
      <c r="B1292" t="s">
        <v>2843</v>
      </c>
      <c r="C1292" t="s">
        <v>2844</v>
      </c>
      <c r="F1292" t="s">
        <v>2371</v>
      </c>
    </row>
    <row r="1293" spans="1:6" x14ac:dyDescent="0.2">
      <c r="A1293" t="s">
        <v>2375</v>
      </c>
      <c r="B1293" t="s">
        <v>2845</v>
      </c>
      <c r="C1293" t="s">
        <v>2846</v>
      </c>
      <c r="F1293" t="s">
        <v>2373</v>
      </c>
    </row>
    <row r="1294" spans="1:6" x14ac:dyDescent="0.2">
      <c r="A1294" t="s">
        <v>2375</v>
      </c>
      <c r="B1294" t="s">
        <v>2847</v>
      </c>
      <c r="C1294" t="s">
        <v>2848</v>
      </c>
      <c r="F1294" t="s">
        <v>2373</v>
      </c>
    </row>
    <row r="1295" spans="1:6" x14ac:dyDescent="0.2">
      <c r="A1295" t="s">
        <v>2375</v>
      </c>
      <c r="B1295" t="s">
        <v>2849</v>
      </c>
      <c r="C1295" t="s">
        <v>2850</v>
      </c>
      <c r="F1295" t="s">
        <v>2373</v>
      </c>
    </row>
    <row r="1296" spans="1:6" x14ac:dyDescent="0.2">
      <c r="A1296" t="s">
        <v>2375</v>
      </c>
      <c r="B1296" t="s">
        <v>2851</v>
      </c>
      <c r="C1296" t="s">
        <v>2852</v>
      </c>
      <c r="F1296" t="s">
        <v>2373</v>
      </c>
    </row>
    <row r="1297" spans="1:6" x14ac:dyDescent="0.2">
      <c r="A1297" t="s">
        <v>2375</v>
      </c>
      <c r="B1297" t="s">
        <v>2853</v>
      </c>
      <c r="C1297" t="s">
        <v>2854</v>
      </c>
      <c r="F1297" t="s">
        <v>2373</v>
      </c>
    </row>
    <row r="1298" spans="1:6" x14ac:dyDescent="0.2">
      <c r="A1298" t="s">
        <v>2375</v>
      </c>
      <c r="B1298" t="s">
        <v>2855</v>
      </c>
      <c r="C1298" t="s">
        <v>2856</v>
      </c>
      <c r="F1298" t="s">
        <v>2373</v>
      </c>
    </row>
    <row r="1299" spans="1:6" x14ac:dyDescent="0.2">
      <c r="A1299" t="s">
        <v>2375</v>
      </c>
      <c r="B1299" t="s">
        <v>2857</v>
      </c>
      <c r="C1299" t="s">
        <v>2858</v>
      </c>
      <c r="F1299" t="s">
        <v>2373</v>
      </c>
    </row>
    <row r="1300" spans="1:6" x14ac:dyDescent="0.2">
      <c r="A1300" t="s">
        <v>2375</v>
      </c>
      <c r="B1300" t="s">
        <v>2859</v>
      </c>
      <c r="C1300" t="s">
        <v>2860</v>
      </c>
      <c r="F1300" t="s">
        <v>2373</v>
      </c>
    </row>
    <row r="1301" spans="1:6" x14ac:dyDescent="0.2">
      <c r="A1301" t="s">
        <v>2375</v>
      </c>
      <c r="B1301" t="s">
        <v>2861</v>
      </c>
      <c r="C1301" t="s">
        <v>2862</v>
      </c>
      <c r="F1301" t="s">
        <v>2373</v>
      </c>
    </row>
    <row r="1302" spans="1:6" x14ac:dyDescent="0.2">
      <c r="A1302" t="s">
        <v>2375</v>
      </c>
      <c r="B1302" t="s">
        <v>2863</v>
      </c>
      <c r="C1302" t="s">
        <v>2864</v>
      </c>
      <c r="F1302" t="s">
        <v>2373</v>
      </c>
    </row>
    <row r="1303" spans="1:6" x14ac:dyDescent="0.2">
      <c r="A1303" t="s">
        <v>2375</v>
      </c>
      <c r="B1303" t="s">
        <v>2865</v>
      </c>
      <c r="C1303" t="s">
        <v>2866</v>
      </c>
      <c r="F1303" t="s">
        <v>2373</v>
      </c>
    </row>
    <row r="1304" spans="1:6" x14ac:dyDescent="0.2">
      <c r="A1304" t="s">
        <v>2375</v>
      </c>
      <c r="B1304" t="s">
        <v>2867</v>
      </c>
      <c r="C1304" t="s">
        <v>2868</v>
      </c>
      <c r="F1304" t="s">
        <v>2373</v>
      </c>
    </row>
    <row r="1305" spans="1:6" x14ac:dyDescent="0.2">
      <c r="A1305" t="s">
        <v>2375</v>
      </c>
      <c r="B1305" t="s">
        <v>2869</v>
      </c>
      <c r="C1305" t="s">
        <v>2870</v>
      </c>
      <c r="F1305" t="s">
        <v>2373</v>
      </c>
    </row>
    <row r="1306" spans="1:6" x14ac:dyDescent="0.2">
      <c r="A1306" t="s">
        <v>2375</v>
      </c>
      <c r="B1306" t="s">
        <v>2871</v>
      </c>
      <c r="C1306" t="s">
        <v>2872</v>
      </c>
      <c r="F1306" t="s">
        <v>2373</v>
      </c>
    </row>
    <row r="1307" spans="1:6" x14ac:dyDescent="0.2">
      <c r="A1307" t="s">
        <v>2375</v>
      </c>
      <c r="B1307" t="s">
        <v>2873</v>
      </c>
      <c r="C1307" t="s">
        <v>2874</v>
      </c>
      <c r="F1307" t="s">
        <v>2373</v>
      </c>
    </row>
    <row r="1308" spans="1:6" x14ac:dyDescent="0.2">
      <c r="A1308" t="s">
        <v>2375</v>
      </c>
      <c r="B1308" t="s">
        <v>2875</v>
      </c>
      <c r="C1308" t="s">
        <v>2876</v>
      </c>
      <c r="F1308" t="s">
        <v>2373</v>
      </c>
    </row>
    <row r="1309" spans="1:6" x14ac:dyDescent="0.2">
      <c r="A1309" t="s">
        <v>2375</v>
      </c>
      <c r="B1309" t="s">
        <v>2877</v>
      </c>
      <c r="C1309" t="s">
        <v>2878</v>
      </c>
      <c r="F1309" t="s">
        <v>2373</v>
      </c>
    </row>
    <row r="1310" spans="1:6" x14ac:dyDescent="0.2">
      <c r="A1310" t="s">
        <v>2375</v>
      </c>
      <c r="B1310" t="s">
        <v>2879</v>
      </c>
      <c r="C1310" t="s">
        <v>2880</v>
      </c>
      <c r="F1310" t="s">
        <v>2373</v>
      </c>
    </row>
    <row r="1311" spans="1:6" x14ac:dyDescent="0.2">
      <c r="A1311" t="s">
        <v>2375</v>
      </c>
      <c r="B1311" t="s">
        <v>2881</v>
      </c>
      <c r="C1311" t="s">
        <v>2882</v>
      </c>
      <c r="F1311" t="s">
        <v>2373</v>
      </c>
    </row>
    <row r="1312" spans="1:6" x14ac:dyDescent="0.2">
      <c r="A1312" t="s">
        <v>2375</v>
      </c>
      <c r="B1312" t="s">
        <v>2883</v>
      </c>
      <c r="C1312" t="s">
        <v>2884</v>
      </c>
      <c r="F1312" t="s">
        <v>2373</v>
      </c>
    </row>
    <row r="1313" spans="1:6" x14ac:dyDescent="0.2">
      <c r="A1313" t="s">
        <v>2375</v>
      </c>
      <c r="B1313" t="s">
        <v>2885</v>
      </c>
      <c r="C1313" t="s">
        <v>2886</v>
      </c>
      <c r="F1313" t="s">
        <v>2373</v>
      </c>
    </row>
    <row r="1314" spans="1:6" x14ac:dyDescent="0.2">
      <c r="A1314" t="s">
        <v>2375</v>
      </c>
      <c r="B1314" t="s">
        <v>2887</v>
      </c>
      <c r="C1314" t="s">
        <v>2888</v>
      </c>
      <c r="F1314" t="s">
        <v>2373</v>
      </c>
    </row>
    <row r="1315" spans="1:6" x14ac:dyDescent="0.2">
      <c r="A1315" t="s">
        <v>2375</v>
      </c>
      <c r="B1315" t="s">
        <v>2889</v>
      </c>
      <c r="C1315" t="s">
        <v>2374</v>
      </c>
      <c r="F1315" t="s">
        <v>2373</v>
      </c>
    </row>
  </sheetData>
  <sheetProtection algorithmName="SHA-512" hashValue="9mpk9fJ2dtpexCVPYbVKXhIn+Bng7WuvZ6BsvMB2Ot17QqNY0bkfKUdGDOEk4yWprlVWoIwLMTCihRoqTbMsUA==" saltValue="q/t7BF8nXa9Nl9VjIDgchQ==" spinCount="100000" sheet="1" formatCells="0" formatColumns="0" formatRows="0" insertColumns="0" insertRows="0" deleteColumns="0" deleteRows="0"/>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abSelected="1" workbookViewId="0">
      <selection activeCell="C33" sqref="C33"/>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2890</v>
      </c>
      <c r="B1" s="6" t="s">
        <v>2891</v>
      </c>
      <c r="C1" s="6" t="s">
        <v>2892</v>
      </c>
      <c r="D1" s="6" t="s">
        <v>2893</v>
      </c>
    </row>
    <row r="2" spans="1:4" x14ac:dyDescent="0.2">
      <c r="A2" s="3" t="s">
        <v>2894</v>
      </c>
      <c r="B2" s="4" t="s">
        <v>2895</v>
      </c>
      <c r="C2" t="s">
        <v>42</v>
      </c>
      <c r="D2" s="3" t="s">
        <v>2896</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82" sqref="C82"/>
    </sheetView>
  </sheetViews>
  <sheetFormatPr baseColWidth="10" defaultColWidth="10.83203125" defaultRowHeight="15" x14ac:dyDescent="0.2"/>
  <cols>
    <col min="1" max="2" width="10.83203125" style="87" customWidth="1"/>
    <col min="3" max="3" width="15.1640625" style="101" customWidth="1"/>
    <col min="4" max="4" width="10.83203125" style="102" customWidth="1"/>
    <col min="5" max="5" width="28.6640625" style="103" customWidth="1"/>
    <col min="6" max="6" width="38.83203125" style="103" customWidth="1"/>
    <col min="7" max="7" width="10.83203125" style="87" customWidth="1"/>
    <col min="8" max="16384" width="10.83203125" style="87"/>
  </cols>
  <sheetData>
    <row r="2" spans="2:6" x14ac:dyDescent="0.2">
      <c r="C2" s="88"/>
      <c r="D2" s="89"/>
      <c r="E2" s="90"/>
      <c r="F2" s="90"/>
    </row>
    <row r="3" spans="2:6" ht="32" customHeight="1" x14ac:dyDescent="0.2">
      <c r="B3" s="91"/>
      <c r="C3" s="92" t="s">
        <v>2897</v>
      </c>
      <c r="D3" s="93" t="s">
        <v>2898</v>
      </c>
      <c r="E3" s="94" t="s">
        <v>2899</v>
      </c>
      <c r="F3" s="94" t="s">
        <v>2900</v>
      </c>
    </row>
    <row r="4" spans="2:6" ht="16" customHeight="1" x14ac:dyDescent="0.2">
      <c r="B4" s="91"/>
      <c r="C4" s="9" t="s">
        <v>2901</v>
      </c>
      <c r="D4" s="95" t="s">
        <v>2071</v>
      </c>
      <c r="E4" s="96" t="s">
        <v>2072</v>
      </c>
      <c r="F4" s="96" t="s">
        <v>2073</v>
      </c>
    </row>
    <row r="5" spans="2:6" ht="16" customHeight="1" x14ac:dyDescent="0.2">
      <c r="B5" s="91"/>
      <c r="C5" s="9"/>
      <c r="D5" s="95" t="s">
        <v>2101</v>
      </c>
      <c r="E5" s="96" t="s">
        <v>2102</v>
      </c>
      <c r="F5" s="96" t="s">
        <v>2103</v>
      </c>
    </row>
    <row r="6" spans="2:6" ht="16" customHeight="1" x14ac:dyDescent="0.2">
      <c r="B6" s="91"/>
      <c r="C6" s="9"/>
      <c r="D6" s="95" t="s">
        <v>2104</v>
      </c>
      <c r="E6" s="96" t="s">
        <v>2105</v>
      </c>
      <c r="F6" s="96" t="s">
        <v>2106</v>
      </c>
    </row>
    <row r="7" spans="2:6" ht="16" customHeight="1" x14ac:dyDescent="0.2">
      <c r="B7" s="91"/>
      <c r="C7" s="9" t="s">
        <v>2901</v>
      </c>
      <c r="D7" s="95" t="s">
        <v>2074</v>
      </c>
      <c r="E7" s="96" t="s">
        <v>2075</v>
      </c>
      <c r="F7" s="96" t="s">
        <v>2076</v>
      </c>
    </row>
    <row r="8" spans="2:6" ht="16" customHeight="1" x14ac:dyDescent="0.2">
      <c r="B8" s="91"/>
      <c r="C8" s="9" t="s">
        <v>2901</v>
      </c>
      <c r="D8" s="95" t="s">
        <v>2077</v>
      </c>
      <c r="E8" s="96" t="s">
        <v>2078</v>
      </c>
      <c r="F8" s="96" t="s">
        <v>2079</v>
      </c>
    </row>
    <row r="9" spans="2:6" ht="16" customHeight="1" x14ac:dyDescent="0.2">
      <c r="B9" s="91"/>
      <c r="C9" s="9"/>
      <c r="D9" s="95" t="s">
        <v>2107</v>
      </c>
      <c r="E9" s="96" t="s">
        <v>2108</v>
      </c>
      <c r="F9" s="96" t="s">
        <v>2109</v>
      </c>
    </row>
    <row r="10" spans="2:6" ht="16" customHeight="1" x14ac:dyDescent="0.2">
      <c r="B10" s="91"/>
      <c r="C10" s="124"/>
      <c r="D10" s="95" t="s">
        <v>2110</v>
      </c>
      <c r="E10" s="97" t="s">
        <v>2111</v>
      </c>
      <c r="F10" s="97" t="s">
        <v>2112</v>
      </c>
    </row>
    <row r="11" spans="2:6" ht="16" customHeight="1" x14ac:dyDescent="0.2">
      <c r="B11" s="91"/>
      <c r="C11" s="9" t="s">
        <v>2901</v>
      </c>
      <c r="D11" s="95" t="s">
        <v>2080</v>
      </c>
      <c r="E11" s="96" t="s">
        <v>2081</v>
      </c>
      <c r="F11" s="96" t="s">
        <v>2082</v>
      </c>
    </row>
    <row r="12" spans="2:6" ht="16" customHeight="1" x14ac:dyDescent="0.2">
      <c r="B12" s="91"/>
      <c r="C12" s="9"/>
      <c r="D12" s="95" t="s">
        <v>2113</v>
      </c>
      <c r="E12" s="96" t="s">
        <v>2114</v>
      </c>
      <c r="F12" s="96" t="s">
        <v>2115</v>
      </c>
    </row>
    <row r="13" spans="2:6" ht="16" customHeight="1" x14ac:dyDescent="0.2">
      <c r="B13" s="91"/>
      <c r="C13" s="9"/>
      <c r="D13" s="95" t="s">
        <v>2116</v>
      </c>
      <c r="E13" s="96" t="s">
        <v>2117</v>
      </c>
      <c r="F13" s="96" t="s">
        <v>2118</v>
      </c>
    </row>
    <row r="14" spans="2:6" ht="16" customHeight="1" x14ac:dyDescent="0.2">
      <c r="B14" s="91"/>
      <c r="C14" s="9"/>
      <c r="D14" s="95" t="s">
        <v>2119</v>
      </c>
      <c r="E14" s="96" t="s">
        <v>2120</v>
      </c>
      <c r="F14" s="96" t="s">
        <v>2121</v>
      </c>
    </row>
    <row r="15" spans="2:6" ht="16" customHeight="1" x14ac:dyDescent="0.2">
      <c r="B15" s="91"/>
      <c r="C15" s="9"/>
      <c r="D15" s="95" t="s">
        <v>2122</v>
      </c>
      <c r="E15" s="96" t="s">
        <v>2123</v>
      </c>
      <c r="F15" s="96" t="s">
        <v>2124</v>
      </c>
    </row>
    <row r="16" spans="2:6" ht="16" customHeight="1" x14ac:dyDescent="0.2">
      <c r="B16" s="91"/>
      <c r="C16" s="9"/>
      <c r="D16" s="95" t="s">
        <v>2125</v>
      </c>
      <c r="E16" s="96" t="s">
        <v>2126</v>
      </c>
      <c r="F16" s="96" t="s">
        <v>2126</v>
      </c>
    </row>
    <row r="17" spans="2:6" ht="16" customHeight="1" x14ac:dyDescent="0.2">
      <c r="B17" s="91"/>
      <c r="C17" s="124"/>
      <c r="D17" s="95" t="s">
        <v>2127</v>
      </c>
      <c r="E17" s="97" t="s">
        <v>2128</v>
      </c>
      <c r="F17" s="97" t="s">
        <v>2129</v>
      </c>
    </row>
    <row r="18" spans="2:6" ht="16" customHeight="1" x14ac:dyDescent="0.2">
      <c r="B18" s="91"/>
      <c r="C18" s="9" t="s">
        <v>2901</v>
      </c>
      <c r="D18" s="95" t="s">
        <v>2083</v>
      </c>
      <c r="E18" s="96" t="s">
        <v>2084</v>
      </c>
      <c r="F18" s="96" t="s">
        <v>2085</v>
      </c>
    </row>
    <row r="19" spans="2:6" ht="16" customHeight="1" x14ac:dyDescent="0.2">
      <c r="B19" s="91"/>
      <c r="C19" s="9"/>
      <c r="D19" s="95" t="s">
        <v>2130</v>
      </c>
      <c r="E19" s="96" t="s">
        <v>2131</v>
      </c>
      <c r="F19" s="96" t="s">
        <v>2132</v>
      </c>
    </row>
    <row r="20" spans="2:6" ht="16" customHeight="1" x14ac:dyDescent="0.2">
      <c r="B20" s="91"/>
      <c r="C20" s="9"/>
      <c r="D20" s="95" t="s">
        <v>2133</v>
      </c>
      <c r="E20" s="96" t="s">
        <v>2134</v>
      </c>
      <c r="F20" s="96" t="s">
        <v>2135</v>
      </c>
    </row>
    <row r="21" spans="2:6" ht="16" customHeight="1" x14ac:dyDescent="0.2">
      <c r="B21" s="91"/>
      <c r="C21" s="9"/>
      <c r="D21" s="95" t="s">
        <v>2136</v>
      </c>
      <c r="E21" s="96" t="s">
        <v>2137</v>
      </c>
      <c r="F21" s="96" t="s">
        <v>2138</v>
      </c>
    </row>
    <row r="22" spans="2:6" ht="16" customHeight="1" x14ac:dyDescent="0.2">
      <c r="B22" s="91"/>
      <c r="C22" s="9"/>
      <c r="D22" s="95" t="s">
        <v>2139</v>
      </c>
      <c r="E22" s="96" t="s">
        <v>2140</v>
      </c>
      <c r="F22" s="96" t="s">
        <v>2141</v>
      </c>
    </row>
    <row r="23" spans="2:6" ht="16" customHeight="1" x14ac:dyDescent="0.2">
      <c r="B23" s="91"/>
      <c r="C23" s="9"/>
      <c r="D23" s="95" t="s">
        <v>2142</v>
      </c>
      <c r="E23" s="96" t="s">
        <v>2143</v>
      </c>
      <c r="F23" s="96" t="s">
        <v>2144</v>
      </c>
    </row>
    <row r="24" spans="2:6" ht="16" customHeight="1" x14ac:dyDescent="0.2">
      <c r="B24" s="91"/>
      <c r="C24" s="9"/>
      <c r="D24" s="95" t="s">
        <v>2145</v>
      </c>
      <c r="E24" s="96" t="s">
        <v>2146</v>
      </c>
      <c r="F24" s="96" t="s">
        <v>2144</v>
      </c>
    </row>
    <row r="25" spans="2:6" ht="16" customHeight="1" x14ac:dyDescent="0.2">
      <c r="B25" s="91"/>
      <c r="C25" s="124"/>
      <c r="D25" s="95" t="s">
        <v>2147</v>
      </c>
      <c r="E25" s="97" t="s">
        <v>2148</v>
      </c>
      <c r="F25" s="97" t="s">
        <v>2149</v>
      </c>
    </row>
    <row r="26" spans="2:6" ht="16" customHeight="1" x14ac:dyDescent="0.2">
      <c r="B26" s="91"/>
      <c r="C26" s="9"/>
      <c r="D26" s="95" t="s">
        <v>2150</v>
      </c>
      <c r="E26" s="96" t="s">
        <v>2151</v>
      </c>
      <c r="F26" s="96" t="s">
        <v>2152</v>
      </c>
    </row>
    <row r="27" spans="2:6" ht="16" customHeight="1" x14ac:dyDescent="0.2">
      <c r="B27" s="91"/>
      <c r="C27" s="9"/>
      <c r="D27" s="95" t="s">
        <v>2156</v>
      </c>
      <c r="E27" s="96" t="s">
        <v>2157</v>
      </c>
      <c r="F27" s="96" t="s">
        <v>2158</v>
      </c>
    </row>
    <row r="28" spans="2:6" ht="16" customHeight="1" x14ac:dyDescent="0.2">
      <c r="B28" s="91"/>
      <c r="C28" s="9"/>
      <c r="D28" s="95" t="s">
        <v>2159</v>
      </c>
      <c r="E28" s="96" t="s">
        <v>2160</v>
      </c>
      <c r="F28" s="96" t="s">
        <v>2161</v>
      </c>
    </row>
    <row r="29" spans="2:6" ht="16" customHeight="1" x14ac:dyDescent="0.2">
      <c r="B29" s="91"/>
      <c r="C29" s="9"/>
      <c r="D29" s="95" t="s">
        <v>2162</v>
      </c>
      <c r="E29" s="96" t="s">
        <v>2163</v>
      </c>
      <c r="F29" s="96" t="s">
        <v>2164</v>
      </c>
    </row>
    <row r="30" spans="2:6" ht="16" customHeight="1" x14ac:dyDescent="0.2">
      <c r="B30" s="91"/>
      <c r="C30" s="9"/>
      <c r="D30" s="95" t="s">
        <v>2165</v>
      </c>
      <c r="E30" s="96" t="s">
        <v>2166</v>
      </c>
      <c r="F30" s="96" t="s">
        <v>2167</v>
      </c>
    </row>
    <row r="31" spans="2:6" ht="16" customHeight="1" x14ac:dyDescent="0.2">
      <c r="B31" s="91"/>
      <c r="C31" s="9"/>
      <c r="D31" s="95" t="s">
        <v>2168</v>
      </c>
      <c r="E31" s="96" t="s">
        <v>2169</v>
      </c>
      <c r="F31" s="96" t="s">
        <v>2169</v>
      </c>
    </row>
    <row r="32" spans="2:6" ht="16" customHeight="1" x14ac:dyDescent="0.2">
      <c r="B32" s="91"/>
      <c r="C32" s="9"/>
      <c r="D32" s="95" t="s">
        <v>2170</v>
      </c>
      <c r="E32" s="96" t="s">
        <v>2171</v>
      </c>
      <c r="F32" s="96" t="s">
        <v>2172</v>
      </c>
    </row>
    <row r="33" spans="2:6" ht="32" customHeight="1" x14ac:dyDescent="0.2">
      <c r="B33" s="91"/>
      <c r="C33" s="9"/>
      <c r="D33" s="95" t="s">
        <v>2173</v>
      </c>
      <c r="E33" s="96" t="s">
        <v>2174</v>
      </c>
      <c r="F33" s="96" t="s">
        <v>2175</v>
      </c>
    </row>
    <row r="34" spans="2:6" ht="16" customHeight="1" x14ac:dyDescent="0.2">
      <c r="B34" s="91"/>
      <c r="C34" s="9"/>
      <c r="D34" s="95" t="s">
        <v>2153</v>
      </c>
      <c r="E34" s="96" t="s">
        <v>2154</v>
      </c>
      <c r="F34" s="96" t="s">
        <v>2155</v>
      </c>
    </row>
    <row r="35" spans="2:6" ht="16" customHeight="1" x14ac:dyDescent="0.2">
      <c r="B35" s="91"/>
      <c r="C35" s="124"/>
      <c r="D35" s="95" t="s">
        <v>2176</v>
      </c>
      <c r="E35" s="97" t="s">
        <v>2177</v>
      </c>
      <c r="F35" s="97" t="s">
        <v>2178</v>
      </c>
    </row>
    <row r="36" spans="2:6" ht="16" customHeight="1" x14ac:dyDescent="0.2">
      <c r="B36" s="91"/>
      <c r="C36" s="9"/>
      <c r="D36" s="95" t="s">
        <v>2179</v>
      </c>
      <c r="E36" s="96" t="s">
        <v>2180</v>
      </c>
      <c r="F36" s="96" t="s">
        <v>2181</v>
      </c>
    </row>
    <row r="37" spans="2:6" ht="16" customHeight="1" x14ac:dyDescent="0.2">
      <c r="B37" s="91"/>
      <c r="C37" s="9"/>
      <c r="D37" s="95" t="s">
        <v>2188</v>
      </c>
      <c r="E37" s="96" t="s">
        <v>2189</v>
      </c>
      <c r="F37" s="96" t="s">
        <v>2190</v>
      </c>
    </row>
    <row r="38" spans="2:6" ht="16" customHeight="1" x14ac:dyDescent="0.2">
      <c r="B38" s="91"/>
      <c r="C38" s="9"/>
      <c r="D38" s="95" t="s">
        <v>2191</v>
      </c>
      <c r="E38" s="96" t="s">
        <v>2192</v>
      </c>
      <c r="F38" s="96" t="s">
        <v>2193</v>
      </c>
    </row>
    <row r="39" spans="2:6" ht="16" customHeight="1" x14ac:dyDescent="0.2">
      <c r="B39" s="91"/>
      <c r="C39" s="9"/>
      <c r="D39" s="95" t="s">
        <v>2194</v>
      </c>
      <c r="E39" s="96" t="s">
        <v>2195</v>
      </c>
      <c r="F39" s="96" t="s">
        <v>2196</v>
      </c>
    </row>
    <row r="40" spans="2:6" ht="16" customHeight="1" x14ac:dyDescent="0.2">
      <c r="B40" s="91"/>
      <c r="C40" s="9"/>
      <c r="D40" s="95" t="s">
        <v>2197</v>
      </c>
      <c r="E40" s="96" t="s">
        <v>2198</v>
      </c>
      <c r="F40" s="96" t="s">
        <v>2199</v>
      </c>
    </row>
    <row r="41" spans="2:6" ht="16" customHeight="1" x14ac:dyDescent="0.2">
      <c r="B41" s="91"/>
      <c r="C41" s="9"/>
      <c r="D41" s="95" t="s">
        <v>2200</v>
      </c>
      <c r="E41" s="96" t="s">
        <v>2201</v>
      </c>
      <c r="F41" s="96" t="s">
        <v>2201</v>
      </c>
    </row>
    <row r="42" spans="2:6" ht="16" customHeight="1" x14ac:dyDescent="0.2">
      <c r="B42" s="91"/>
      <c r="C42" s="9"/>
      <c r="D42" s="95" t="s">
        <v>2202</v>
      </c>
      <c r="E42" s="96" t="s">
        <v>2203</v>
      </c>
      <c r="F42" s="96" t="s">
        <v>2204</v>
      </c>
    </row>
    <row r="43" spans="2:6" ht="16" customHeight="1" x14ac:dyDescent="0.2">
      <c r="B43" s="91"/>
      <c r="C43" s="9"/>
      <c r="D43" s="95" t="s">
        <v>2205</v>
      </c>
      <c r="E43" s="96" t="s">
        <v>2206</v>
      </c>
      <c r="F43" s="96" t="s">
        <v>2207</v>
      </c>
    </row>
    <row r="44" spans="2:6" ht="16" customHeight="1" x14ac:dyDescent="0.2">
      <c r="B44" s="91"/>
      <c r="C44" s="9"/>
      <c r="D44" s="95" t="s">
        <v>2208</v>
      </c>
      <c r="E44" s="96" t="s">
        <v>2209</v>
      </c>
      <c r="F44" s="96" t="s">
        <v>2210</v>
      </c>
    </row>
    <row r="45" spans="2:6" ht="16" customHeight="1" x14ac:dyDescent="0.2">
      <c r="B45" s="91"/>
      <c r="C45" s="9"/>
      <c r="D45" s="95" t="s">
        <v>2182</v>
      </c>
      <c r="E45" s="96" t="s">
        <v>2183</v>
      </c>
      <c r="F45" s="96" t="s">
        <v>2184</v>
      </c>
    </row>
    <row r="46" spans="2:6" ht="16" customHeight="1" x14ac:dyDescent="0.2">
      <c r="B46" s="91"/>
      <c r="C46" s="9"/>
      <c r="D46" s="95" t="s">
        <v>2185</v>
      </c>
      <c r="E46" s="96" t="s">
        <v>2186</v>
      </c>
      <c r="F46" s="96" t="s">
        <v>2187</v>
      </c>
    </row>
    <row r="47" spans="2:6" ht="16" customHeight="1" x14ac:dyDescent="0.2">
      <c r="B47" s="91"/>
      <c r="C47" s="124"/>
      <c r="D47" s="95" t="s">
        <v>2211</v>
      </c>
      <c r="E47" s="97" t="s">
        <v>2212</v>
      </c>
      <c r="F47" s="97" t="s">
        <v>2213</v>
      </c>
    </row>
    <row r="48" spans="2:6" ht="16" customHeight="1" x14ac:dyDescent="0.2">
      <c r="B48" s="91"/>
      <c r="C48" s="9" t="s">
        <v>2901</v>
      </c>
      <c r="D48" s="95" t="s">
        <v>2086</v>
      </c>
      <c r="E48" s="96" t="s">
        <v>2087</v>
      </c>
      <c r="F48" s="96" t="s">
        <v>2088</v>
      </c>
    </row>
    <row r="49" spans="2:6" ht="16" customHeight="1" x14ac:dyDescent="0.2">
      <c r="B49" s="91"/>
      <c r="C49" s="9"/>
      <c r="D49" s="95" t="s">
        <v>2214</v>
      </c>
      <c r="E49" s="96" t="s">
        <v>2215</v>
      </c>
      <c r="F49" s="96" t="s">
        <v>2216</v>
      </c>
    </row>
    <row r="50" spans="2:6" ht="16" customHeight="1" x14ac:dyDescent="0.2">
      <c r="B50" s="91"/>
      <c r="C50" s="9"/>
      <c r="D50" s="95" t="s">
        <v>2217</v>
      </c>
      <c r="E50" s="96" t="s">
        <v>2218</v>
      </c>
      <c r="F50" s="96" t="s">
        <v>2219</v>
      </c>
    </row>
    <row r="51" spans="2:6" ht="16" customHeight="1" x14ac:dyDescent="0.2">
      <c r="B51" s="91"/>
      <c r="C51" s="9"/>
      <c r="D51" s="95" t="s">
        <v>2220</v>
      </c>
      <c r="E51" s="96" t="s">
        <v>2221</v>
      </c>
      <c r="F51" s="96" t="s">
        <v>2222</v>
      </c>
    </row>
    <row r="52" spans="2:6" ht="16" customHeight="1" x14ac:dyDescent="0.2">
      <c r="B52" s="91"/>
      <c r="C52" s="124"/>
      <c r="D52" s="95" t="s">
        <v>2223</v>
      </c>
      <c r="E52" s="97" t="s">
        <v>2224</v>
      </c>
      <c r="F52" s="97" t="s">
        <v>2225</v>
      </c>
    </row>
    <row r="53" spans="2:6" ht="16" customHeight="1" x14ac:dyDescent="0.2">
      <c r="B53" s="91"/>
      <c r="C53" s="9"/>
      <c r="D53" s="95" t="s">
        <v>2226</v>
      </c>
      <c r="E53" s="96" t="s">
        <v>2227</v>
      </c>
      <c r="F53" s="96" t="s">
        <v>2228</v>
      </c>
    </row>
    <row r="54" spans="2:6" ht="16" customHeight="1" x14ac:dyDescent="0.2">
      <c r="B54" s="91"/>
      <c r="C54" s="9" t="s">
        <v>2901</v>
      </c>
      <c r="D54" s="95" t="s">
        <v>2089</v>
      </c>
      <c r="E54" s="96" t="s">
        <v>2090</v>
      </c>
      <c r="F54" s="96" t="s">
        <v>2091</v>
      </c>
    </row>
    <row r="55" spans="2:6" ht="16" customHeight="1" x14ac:dyDescent="0.2">
      <c r="B55" s="91"/>
      <c r="C55" s="9"/>
      <c r="D55" s="95" t="s">
        <v>2256</v>
      </c>
      <c r="E55" s="96" t="s">
        <v>2257</v>
      </c>
      <c r="F55" s="96" t="s">
        <v>2257</v>
      </c>
    </row>
    <row r="56" spans="2:6" ht="16" customHeight="1" x14ac:dyDescent="0.2">
      <c r="B56" s="91"/>
      <c r="C56" s="9"/>
      <c r="D56" s="95" t="s">
        <v>2258</v>
      </c>
      <c r="E56" s="96" t="s">
        <v>2259</v>
      </c>
      <c r="F56" s="96" t="s">
        <v>2259</v>
      </c>
    </row>
    <row r="57" spans="2:6" ht="16" customHeight="1" x14ac:dyDescent="0.2">
      <c r="B57" s="91"/>
      <c r="C57" s="9"/>
      <c r="D57" s="95" t="s">
        <v>2260</v>
      </c>
      <c r="E57" s="96" t="s">
        <v>2261</v>
      </c>
      <c r="F57" s="96" t="s">
        <v>2262</v>
      </c>
    </row>
    <row r="58" spans="2:6" ht="16" customHeight="1" x14ac:dyDescent="0.2">
      <c r="B58" s="91"/>
      <c r="C58" s="9"/>
      <c r="D58" s="95" t="s">
        <v>2263</v>
      </c>
      <c r="E58" s="96" t="s">
        <v>2264</v>
      </c>
      <c r="F58" s="96" t="s">
        <v>2265</v>
      </c>
    </row>
    <row r="59" spans="2:6" ht="16" customHeight="1" x14ac:dyDescent="0.2">
      <c r="B59" s="91"/>
      <c r="C59" s="9"/>
      <c r="D59" s="95" t="s">
        <v>2266</v>
      </c>
      <c r="E59" s="96" t="s">
        <v>2267</v>
      </c>
      <c r="F59" s="96" t="s">
        <v>2268</v>
      </c>
    </row>
    <row r="60" spans="2:6" ht="16" customHeight="1" x14ac:dyDescent="0.2">
      <c r="B60" s="91"/>
      <c r="C60" s="9"/>
      <c r="D60" s="95" t="s">
        <v>2269</v>
      </c>
      <c r="E60" s="96" t="s">
        <v>2270</v>
      </c>
      <c r="F60" s="96" t="s">
        <v>2271</v>
      </c>
    </row>
    <row r="61" spans="2:6" ht="16" customHeight="1" x14ac:dyDescent="0.2">
      <c r="B61" s="91"/>
      <c r="C61" s="9"/>
      <c r="D61" s="95" t="s">
        <v>2272</v>
      </c>
      <c r="E61" s="96" t="s">
        <v>2273</v>
      </c>
      <c r="F61" s="96" t="s">
        <v>2274</v>
      </c>
    </row>
    <row r="62" spans="2:6" ht="16" customHeight="1" x14ac:dyDescent="0.2">
      <c r="B62" s="91"/>
      <c r="C62" s="9"/>
      <c r="D62" s="95" t="s">
        <v>2229</v>
      </c>
      <c r="E62" s="96" t="s">
        <v>2230</v>
      </c>
      <c r="F62" s="96" t="s">
        <v>2231</v>
      </c>
    </row>
    <row r="63" spans="2:6" ht="16" customHeight="1" x14ac:dyDescent="0.2">
      <c r="B63" s="91"/>
      <c r="C63" s="9"/>
      <c r="D63" s="95" t="s">
        <v>2232</v>
      </c>
      <c r="E63" s="96" t="s">
        <v>2233</v>
      </c>
      <c r="F63" s="96" t="s">
        <v>2234</v>
      </c>
    </row>
    <row r="64" spans="2:6" ht="16" customHeight="1" x14ac:dyDescent="0.2">
      <c r="B64" s="91"/>
      <c r="C64" s="9"/>
      <c r="D64" s="95" t="s">
        <v>2235</v>
      </c>
      <c r="E64" s="96" t="s">
        <v>2236</v>
      </c>
      <c r="F64" s="96" t="s">
        <v>2237</v>
      </c>
    </row>
    <row r="65" spans="2:6" ht="16" customHeight="1" x14ac:dyDescent="0.2">
      <c r="B65" s="91"/>
      <c r="C65" s="9"/>
      <c r="D65" s="95" t="s">
        <v>2238</v>
      </c>
      <c r="E65" s="96" t="s">
        <v>2239</v>
      </c>
      <c r="F65" s="96" t="s">
        <v>2240</v>
      </c>
    </row>
    <row r="66" spans="2:6" ht="16" customHeight="1" x14ac:dyDescent="0.2">
      <c r="B66" s="91"/>
      <c r="C66" s="9"/>
      <c r="D66" s="95" t="s">
        <v>2241</v>
      </c>
      <c r="E66" s="96" t="s">
        <v>2242</v>
      </c>
      <c r="F66" s="96" t="s">
        <v>2243</v>
      </c>
    </row>
    <row r="67" spans="2:6" ht="16" customHeight="1" x14ac:dyDescent="0.2">
      <c r="B67" s="91"/>
      <c r="C67" s="9"/>
      <c r="D67" s="95" t="s">
        <v>2244</v>
      </c>
      <c r="E67" s="96" t="s">
        <v>2245</v>
      </c>
      <c r="F67" s="96" t="s">
        <v>2246</v>
      </c>
    </row>
    <row r="68" spans="2:6" ht="16" customHeight="1" x14ac:dyDescent="0.2">
      <c r="B68" s="91"/>
      <c r="C68" s="9"/>
      <c r="D68" s="95" t="s">
        <v>2247</v>
      </c>
      <c r="E68" s="96" t="s">
        <v>2248</v>
      </c>
      <c r="F68" s="96" t="s">
        <v>2249</v>
      </c>
    </row>
    <row r="69" spans="2:6" ht="16" customHeight="1" x14ac:dyDescent="0.2">
      <c r="B69" s="91"/>
      <c r="C69" s="9"/>
      <c r="D69" s="95" t="s">
        <v>2250</v>
      </c>
      <c r="E69" s="96" t="s">
        <v>2251</v>
      </c>
      <c r="F69" s="96" t="s">
        <v>2252</v>
      </c>
    </row>
    <row r="70" spans="2:6" ht="16" customHeight="1" x14ac:dyDescent="0.2">
      <c r="B70" s="91"/>
      <c r="C70" s="9"/>
      <c r="D70" s="95" t="s">
        <v>2253</v>
      </c>
      <c r="E70" s="96" t="s">
        <v>2254</v>
      </c>
      <c r="F70" s="96" t="s">
        <v>2255</v>
      </c>
    </row>
    <row r="71" spans="2:6" ht="16" customHeight="1" x14ac:dyDescent="0.2">
      <c r="B71" s="91"/>
      <c r="C71" s="124"/>
      <c r="D71" s="95" t="s">
        <v>2275</v>
      </c>
      <c r="E71" s="97" t="s">
        <v>2276</v>
      </c>
      <c r="F71" s="97" t="s">
        <v>2277</v>
      </c>
    </row>
    <row r="72" spans="2:6" ht="16" customHeight="1" x14ac:dyDescent="0.2">
      <c r="B72" s="91"/>
      <c r="C72" s="9" t="s">
        <v>2901</v>
      </c>
      <c r="D72" s="95" t="s">
        <v>2092</v>
      </c>
      <c r="E72" s="96" t="s">
        <v>2093</v>
      </c>
      <c r="F72" s="96" t="s">
        <v>2094</v>
      </c>
    </row>
    <row r="73" spans="2:6" ht="16" customHeight="1" x14ac:dyDescent="0.2">
      <c r="B73" s="91"/>
      <c r="C73" s="9"/>
      <c r="D73" s="95" t="s">
        <v>2278</v>
      </c>
      <c r="E73" s="96" t="s">
        <v>2279</v>
      </c>
      <c r="F73" s="96" t="s">
        <v>2280</v>
      </c>
    </row>
    <row r="74" spans="2:6" ht="16" customHeight="1" x14ac:dyDescent="0.2">
      <c r="B74" s="91"/>
      <c r="C74" s="9"/>
      <c r="D74" s="95" t="s">
        <v>2281</v>
      </c>
      <c r="E74" s="96" t="s">
        <v>2282</v>
      </c>
      <c r="F74" s="96" t="s">
        <v>2283</v>
      </c>
    </row>
    <row r="75" spans="2:6" ht="16" customHeight="1" x14ac:dyDescent="0.2">
      <c r="B75" s="91"/>
      <c r="C75" s="9"/>
      <c r="D75" s="95" t="s">
        <v>2284</v>
      </c>
      <c r="E75" s="96" t="s">
        <v>2285</v>
      </c>
      <c r="F75" s="96" t="s">
        <v>2286</v>
      </c>
    </row>
    <row r="76" spans="2:6" ht="16" customHeight="1" x14ac:dyDescent="0.2">
      <c r="B76" s="91"/>
      <c r="C76" s="9"/>
      <c r="D76" s="95" t="s">
        <v>2287</v>
      </c>
      <c r="E76" s="96" t="s">
        <v>2288</v>
      </c>
      <c r="F76" s="96" t="s">
        <v>2289</v>
      </c>
    </row>
    <row r="77" spans="2:6" ht="16" customHeight="1" x14ac:dyDescent="0.2">
      <c r="B77" s="91"/>
      <c r="C77" s="9"/>
      <c r="D77" s="95" t="s">
        <v>2290</v>
      </c>
      <c r="E77" s="96" t="s">
        <v>2291</v>
      </c>
      <c r="F77" s="96" t="s">
        <v>2292</v>
      </c>
    </row>
    <row r="78" spans="2:6" ht="16" customHeight="1" x14ac:dyDescent="0.2">
      <c r="B78" s="91"/>
      <c r="C78" s="9"/>
      <c r="D78" s="95" t="s">
        <v>2293</v>
      </c>
      <c r="E78" s="96" t="s">
        <v>2294</v>
      </c>
      <c r="F78" s="96" t="s">
        <v>2295</v>
      </c>
    </row>
    <row r="79" spans="2:6" ht="16" customHeight="1" x14ac:dyDescent="0.2">
      <c r="B79" s="91"/>
      <c r="C79" s="9"/>
      <c r="D79" s="95" t="s">
        <v>2296</v>
      </c>
      <c r="E79" s="96" t="s">
        <v>2297</v>
      </c>
      <c r="F79" s="96" t="s">
        <v>2298</v>
      </c>
    </row>
    <row r="80" spans="2:6" ht="16" customHeight="1" x14ac:dyDescent="0.2">
      <c r="B80" s="91"/>
      <c r="C80" s="124"/>
      <c r="D80" s="95" t="s">
        <v>2299</v>
      </c>
      <c r="E80" s="97" t="s">
        <v>2300</v>
      </c>
      <c r="F80" s="97" t="s">
        <v>2301</v>
      </c>
    </row>
    <row r="81" spans="2:6" ht="16" customHeight="1" x14ac:dyDescent="0.2">
      <c r="B81" s="91"/>
      <c r="C81" s="9"/>
      <c r="D81" s="95" t="s">
        <v>2302</v>
      </c>
      <c r="E81" s="96" t="s">
        <v>2303</v>
      </c>
      <c r="F81" s="96" t="s">
        <v>2304</v>
      </c>
    </row>
    <row r="82" spans="2:6" ht="16" customHeight="1" x14ac:dyDescent="0.2">
      <c r="B82" s="91"/>
      <c r="C82" s="9" t="s">
        <v>2901</v>
      </c>
      <c r="D82" s="95" t="s">
        <v>2095</v>
      </c>
      <c r="E82" s="96" t="s">
        <v>2096</v>
      </c>
      <c r="F82" s="96" t="s">
        <v>2097</v>
      </c>
    </row>
    <row r="83" spans="2:6" ht="16" customHeight="1" x14ac:dyDescent="0.2">
      <c r="B83" s="91"/>
      <c r="C83" s="9"/>
      <c r="D83" s="95" t="s">
        <v>2305</v>
      </c>
      <c r="E83" s="96" t="s">
        <v>2306</v>
      </c>
      <c r="F83" s="96" t="s">
        <v>2307</v>
      </c>
    </row>
    <row r="84" spans="2:6" ht="16" customHeight="1" x14ac:dyDescent="0.2">
      <c r="B84" s="91"/>
      <c r="C84" s="9" t="s">
        <v>2901</v>
      </c>
      <c r="D84" s="95" t="s">
        <v>2098</v>
      </c>
      <c r="E84" s="96" t="s">
        <v>2099</v>
      </c>
      <c r="F84" s="96" t="s">
        <v>2100</v>
      </c>
    </row>
    <row r="85" spans="2:6" ht="16" customHeight="1" x14ac:dyDescent="0.2">
      <c r="B85" s="91"/>
      <c r="C85" s="9"/>
      <c r="D85" s="95" t="s">
        <v>2308</v>
      </c>
      <c r="E85" s="96" t="s">
        <v>2309</v>
      </c>
      <c r="F85" s="96" t="s">
        <v>2310</v>
      </c>
    </row>
    <row r="86" spans="2:6" ht="16" customHeight="1" x14ac:dyDescent="0.2">
      <c r="B86" s="91"/>
      <c r="C86" s="124"/>
      <c r="D86" s="95" t="s">
        <v>2311</v>
      </c>
      <c r="E86" s="97" t="s">
        <v>2312</v>
      </c>
      <c r="F86" s="97" t="s">
        <v>2313</v>
      </c>
    </row>
    <row r="87" spans="2:6" ht="16" customHeight="1" x14ac:dyDescent="0.2">
      <c r="B87" s="91"/>
      <c r="C87" s="9"/>
      <c r="D87" s="95" t="s">
        <v>2314</v>
      </c>
      <c r="E87" s="96" t="s">
        <v>2315</v>
      </c>
      <c r="F87" s="96" t="s">
        <v>2316</v>
      </c>
    </row>
    <row r="88" spans="2:6" ht="16" customHeight="1" x14ac:dyDescent="0.2">
      <c r="B88" s="91"/>
      <c r="C88" s="9"/>
      <c r="D88" s="95" t="s">
        <v>2317</v>
      </c>
      <c r="E88" s="96" t="s">
        <v>2318</v>
      </c>
      <c r="F88" s="96" t="s">
        <v>2319</v>
      </c>
    </row>
    <row r="89" spans="2:6" ht="16" customHeight="1" x14ac:dyDescent="0.2">
      <c r="B89" s="91"/>
      <c r="C89" s="9"/>
      <c r="D89" s="95" t="s">
        <v>2320</v>
      </c>
      <c r="E89" s="96" t="s">
        <v>2321</v>
      </c>
      <c r="F89" s="96" t="s">
        <v>2322</v>
      </c>
    </row>
    <row r="90" spans="2:6" ht="16" customHeight="1" x14ac:dyDescent="0.2">
      <c r="B90" s="91"/>
      <c r="C90" s="9"/>
      <c r="D90" s="95" t="s">
        <v>2323</v>
      </c>
      <c r="E90" s="96" t="s">
        <v>2324</v>
      </c>
      <c r="F90" s="96" t="s">
        <v>2325</v>
      </c>
    </row>
    <row r="91" spans="2:6" ht="16" customHeight="1" x14ac:dyDescent="0.2">
      <c r="B91" s="91"/>
      <c r="C91" s="9"/>
      <c r="D91" s="95" t="s">
        <v>2326</v>
      </c>
      <c r="E91" s="96" t="s">
        <v>2327</v>
      </c>
      <c r="F91" s="96" t="s">
        <v>2328</v>
      </c>
    </row>
    <row r="92" spans="2:6" ht="16" customHeight="1" x14ac:dyDescent="0.2">
      <c r="B92" s="91"/>
      <c r="C92" s="9"/>
      <c r="D92" s="95" t="s">
        <v>2329</v>
      </c>
      <c r="E92" s="96" t="s">
        <v>2330</v>
      </c>
      <c r="F92" s="96" t="s">
        <v>2330</v>
      </c>
    </row>
    <row r="93" spans="2:6" s="103" customFormat="1" ht="16" customHeight="1" x14ac:dyDescent="0.2">
      <c r="B93" s="243"/>
      <c r="C93" s="244"/>
      <c r="D93" s="245" t="s">
        <v>2331</v>
      </c>
      <c r="E93" s="97" t="s">
        <v>2332</v>
      </c>
      <c r="F93" s="97" t="s">
        <v>2333</v>
      </c>
    </row>
    <row r="94" spans="2:6" x14ac:dyDescent="0.2">
      <c r="C94" s="98"/>
      <c r="D94" s="99"/>
      <c r="E94" s="100"/>
      <c r="F94" s="100"/>
    </row>
  </sheetData>
  <sheetProtection algorithmName="SHA-512" hashValue="4x9QBwmmpf14RH0wMmt486Zh17eApxgzQvdyAdM6ZbOp8lWkhkx1Fu3fkBuqh8/YYI/5TBKj1KlB+8vpFJO9Kg==" saltValue="/61zWf5pyzpbPCyumjZE6Q=="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3" zoomScaleNormal="80" workbookViewId="0">
      <selection activeCell="E10" sqref="E10"/>
    </sheetView>
  </sheetViews>
  <sheetFormatPr baseColWidth="10" defaultColWidth="10.83203125" defaultRowHeight="16" x14ac:dyDescent="0.2"/>
  <cols>
    <col min="1" max="1" width="10.83203125" style="156" customWidth="1"/>
    <col min="2" max="2" width="8.83203125" style="156" customWidth="1"/>
    <col min="3" max="3" width="27.6640625" style="156" customWidth="1"/>
    <col min="4" max="5" width="20.83203125" style="156" customWidth="1"/>
    <col min="6" max="7" width="46.5" style="169" customWidth="1"/>
    <col min="8" max="8" width="20.83203125" style="239" customWidth="1"/>
    <col min="9" max="9" width="20.83203125" style="156" customWidth="1"/>
    <col min="10" max="10" width="10.83203125" style="156" customWidth="1"/>
    <col min="11" max="16384" width="10.83203125" style="156"/>
  </cols>
  <sheetData>
    <row r="1" spans="1:11" ht="17" customHeight="1" thickBot="1" x14ac:dyDescent="0.25">
      <c r="C1" s="157"/>
      <c r="D1" s="157"/>
      <c r="E1" s="157"/>
      <c r="F1" s="158"/>
      <c r="G1" s="158"/>
      <c r="H1" s="159"/>
      <c r="I1" s="157"/>
    </row>
    <row r="2" spans="1:11" s="169" customFormat="1" ht="17" customHeight="1" thickBot="1" x14ac:dyDescent="0.25">
      <c r="A2" s="160"/>
      <c r="B2" s="161"/>
      <c r="C2" s="162" t="s">
        <v>2902</v>
      </c>
      <c r="D2" s="163" t="s">
        <v>2903</v>
      </c>
      <c r="E2" s="163" t="s">
        <v>2904</v>
      </c>
      <c r="F2" s="164" t="s">
        <v>2905</v>
      </c>
      <c r="G2" s="165" t="s">
        <v>2906</v>
      </c>
      <c r="H2" s="166" t="s">
        <v>2907</v>
      </c>
      <c r="I2" s="167" t="s">
        <v>2908</v>
      </c>
      <c r="J2" s="168"/>
    </row>
    <row r="3" spans="1:11" ht="62.5" customHeight="1" x14ac:dyDescent="0.2">
      <c r="A3" s="170"/>
      <c r="B3" s="342" t="s">
        <v>2909</v>
      </c>
      <c r="C3" s="171" t="s">
        <v>2910</v>
      </c>
      <c r="D3" s="172" t="s">
        <v>2911</v>
      </c>
      <c r="E3" s="270" t="s">
        <v>2911</v>
      </c>
      <c r="F3" s="173" t="s">
        <v>2912</v>
      </c>
      <c r="G3" s="174" t="s">
        <v>2913</v>
      </c>
      <c r="H3" s="175" t="s">
        <v>2914</v>
      </c>
      <c r="I3" s="176" t="s">
        <v>2914</v>
      </c>
      <c r="J3" s="177"/>
    </row>
    <row r="4" spans="1:11" ht="31.75" customHeight="1" x14ac:dyDescent="0.2">
      <c r="A4" s="170"/>
      <c r="B4" s="339"/>
      <c r="C4" s="178" t="s">
        <v>2915</v>
      </c>
      <c r="D4" s="179">
        <v>18</v>
      </c>
      <c r="E4" s="122">
        <v>18</v>
      </c>
      <c r="F4" s="180" t="s">
        <v>2916</v>
      </c>
      <c r="G4" s="181" t="s">
        <v>2917</v>
      </c>
      <c r="H4" s="182">
        <v>18</v>
      </c>
      <c r="I4" s="183">
        <v>18</v>
      </c>
      <c r="J4" s="177"/>
    </row>
    <row r="5" spans="1:11" ht="66" customHeight="1" x14ac:dyDescent="0.2">
      <c r="A5" s="170"/>
      <c r="B5" s="339"/>
      <c r="C5" s="184" t="s">
        <v>2918</v>
      </c>
      <c r="D5" s="335" t="s">
        <v>2919</v>
      </c>
      <c r="E5" s="304" t="s">
        <v>2346</v>
      </c>
      <c r="F5" s="250" t="s">
        <v>2920</v>
      </c>
      <c r="G5" s="181" t="s">
        <v>2921</v>
      </c>
      <c r="H5" s="185" t="s">
        <v>2922</v>
      </c>
      <c r="I5" s="186" t="s">
        <v>2923</v>
      </c>
      <c r="J5" s="177"/>
    </row>
    <row r="6" spans="1:11" ht="48" customHeight="1" x14ac:dyDescent="0.2">
      <c r="A6" s="170"/>
      <c r="B6" s="339"/>
      <c r="C6" s="187" t="s">
        <v>2924</v>
      </c>
      <c r="D6" s="335" t="s">
        <v>2925</v>
      </c>
      <c r="E6" s="304" t="s">
        <v>2375</v>
      </c>
      <c r="F6" s="250" t="s">
        <v>2926</v>
      </c>
      <c r="G6" s="180" t="s">
        <v>2927</v>
      </c>
      <c r="H6" s="188" t="s">
        <v>2928</v>
      </c>
      <c r="I6" s="189" t="s">
        <v>2929</v>
      </c>
      <c r="J6" s="177"/>
    </row>
    <row r="7" spans="1:11" s="195" customFormat="1" ht="100.5" customHeight="1" x14ac:dyDescent="0.2">
      <c r="A7" s="190"/>
      <c r="B7" s="339"/>
      <c r="C7" s="191" t="s">
        <v>2930</v>
      </c>
      <c r="D7" s="271" t="s">
        <v>2931</v>
      </c>
      <c r="E7" s="155" t="s">
        <v>2932</v>
      </c>
      <c r="F7" s="250" t="s">
        <v>2933</v>
      </c>
      <c r="G7" s="192" t="s">
        <v>2934</v>
      </c>
      <c r="H7" s="188" t="s">
        <v>2935</v>
      </c>
      <c r="I7" s="193" t="s">
        <v>2936</v>
      </c>
      <c r="J7" s="194"/>
    </row>
    <row r="8" spans="1:11" ht="121" customHeight="1" x14ac:dyDescent="0.2">
      <c r="A8" s="170"/>
      <c r="B8" s="339"/>
      <c r="C8" s="187" t="s">
        <v>2937</v>
      </c>
      <c r="D8" s="336" t="s">
        <v>2938</v>
      </c>
      <c r="E8" s="304" t="s">
        <v>2939</v>
      </c>
      <c r="F8" s="251" t="s">
        <v>2940</v>
      </c>
      <c r="G8" s="196" t="s">
        <v>2941</v>
      </c>
      <c r="H8" s="197" t="s">
        <v>2942</v>
      </c>
      <c r="I8" s="198" t="s">
        <v>2943</v>
      </c>
      <c r="J8" s="177"/>
      <c r="K8" s="272"/>
    </row>
    <row r="9" spans="1:11" ht="96" customHeight="1" x14ac:dyDescent="0.2">
      <c r="A9" s="170"/>
      <c r="B9" s="339"/>
      <c r="C9" s="187" t="s">
        <v>2944</v>
      </c>
      <c r="D9" s="199" t="s">
        <v>2945</v>
      </c>
      <c r="E9" s="273" t="s">
        <v>2946</v>
      </c>
      <c r="F9" s="251" t="s">
        <v>2947</v>
      </c>
      <c r="G9" s="196" t="s">
        <v>2948</v>
      </c>
      <c r="H9" s="197" t="s">
        <v>2949</v>
      </c>
      <c r="I9" s="189" t="s">
        <v>2950</v>
      </c>
      <c r="J9" s="177"/>
    </row>
    <row r="10" spans="1:11" s="195" customFormat="1" ht="85" customHeight="1" x14ac:dyDescent="0.2">
      <c r="A10" s="190"/>
      <c r="B10" s="339"/>
      <c r="C10" s="200" t="s">
        <v>2951</v>
      </c>
      <c r="D10" s="274" t="s">
        <v>2240</v>
      </c>
      <c r="E10" s="274" t="s">
        <v>2240</v>
      </c>
      <c r="F10" s="252" t="s">
        <v>2952</v>
      </c>
      <c r="G10" s="201" t="s">
        <v>2953</v>
      </c>
      <c r="H10" s="197" t="s">
        <v>2240</v>
      </c>
      <c r="I10" s="202" t="s">
        <v>2240</v>
      </c>
      <c r="J10" s="194"/>
    </row>
    <row r="11" spans="1:11" s="195" customFormat="1" ht="50.25" customHeight="1" thickBot="1" x14ac:dyDescent="0.25">
      <c r="A11" s="190"/>
      <c r="B11" s="340"/>
      <c r="C11" s="203" t="s">
        <v>2954</v>
      </c>
      <c r="D11" s="204">
        <v>1.43</v>
      </c>
      <c r="E11" s="275">
        <v>1.43</v>
      </c>
      <c r="F11" s="253" t="s">
        <v>2955</v>
      </c>
      <c r="G11" s="205" t="s">
        <v>2956</v>
      </c>
      <c r="H11" s="206">
        <v>1.43</v>
      </c>
      <c r="I11" s="207">
        <v>1.43</v>
      </c>
      <c r="J11" s="194"/>
    </row>
    <row r="12" spans="1:11" ht="57.5" customHeight="1" x14ac:dyDescent="0.2">
      <c r="A12" s="170"/>
      <c r="B12" s="338" t="s">
        <v>2957</v>
      </c>
      <c r="C12" s="208" t="s">
        <v>2958</v>
      </c>
      <c r="D12" s="179" t="s">
        <v>2959</v>
      </c>
      <c r="E12" s="276" t="s">
        <v>2959</v>
      </c>
      <c r="F12" s="254" t="s">
        <v>2960</v>
      </c>
      <c r="G12" s="209" t="s">
        <v>2961</v>
      </c>
      <c r="H12" s="185" t="s">
        <v>2962</v>
      </c>
      <c r="I12" s="210" t="s">
        <v>2962</v>
      </c>
      <c r="J12" s="177"/>
    </row>
    <row r="13" spans="1:11" ht="145.5" customHeight="1" x14ac:dyDescent="0.2">
      <c r="A13" s="170"/>
      <c r="B13" s="339"/>
      <c r="C13" s="211" t="s">
        <v>2963</v>
      </c>
      <c r="D13" s="179">
        <v>0</v>
      </c>
      <c r="E13" s="277">
        <v>0</v>
      </c>
      <c r="F13" s="255" t="s">
        <v>2964</v>
      </c>
      <c r="G13" s="212" t="s">
        <v>2965</v>
      </c>
      <c r="H13" s="197">
        <v>5</v>
      </c>
      <c r="I13" s="213">
        <v>5</v>
      </c>
      <c r="J13" s="214"/>
      <c r="K13" s="215"/>
    </row>
    <row r="14" spans="1:11" ht="198" customHeight="1" x14ac:dyDescent="0.2">
      <c r="A14" s="170"/>
      <c r="B14" s="339"/>
      <c r="C14" s="211" t="s">
        <v>2966</v>
      </c>
      <c r="D14" s="179">
        <v>5000</v>
      </c>
      <c r="E14" s="277">
        <v>5000</v>
      </c>
      <c r="F14" s="256" t="s">
        <v>2967</v>
      </c>
      <c r="G14" s="201" t="s">
        <v>2968</v>
      </c>
      <c r="H14" s="197">
        <v>1200000</v>
      </c>
      <c r="I14" s="213">
        <v>1200000</v>
      </c>
      <c r="J14" s="177"/>
    </row>
    <row r="15" spans="1:11" ht="48" customHeight="1" x14ac:dyDescent="0.2">
      <c r="A15" s="170"/>
      <c r="B15" s="339"/>
      <c r="C15" s="216" t="s">
        <v>2969</v>
      </c>
      <c r="D15" s="336" t="s">
        <v>2970</v>
      </c>
      <c r="E15" s="304" t="s">
        <v>2971</v>
      </c>
      <c r="F15" s="252" t="s">
        <v>2972</v>
      </c>
      <c r="G15" s="201" t="s">
        <v>2973</v>
      </c>
      <c r="H15" s="197" t="s">
        <v>2974</v>
      </c>
      <c r="I15" s="198" t="s">
        <v>2975</v>
      </c>
      <c r="J15" s="177"/>
    </row>
    <row r="16" spans="1:11" ht="49" customHeight="1" thickBot="1" x14ac:dyDescent="0.25">
      <c r="A16" s="170"/>
      <c r="B16" s="340"/>
      <c r="C16" s="217" t="s">
        <v>2976</v>
      </c>
      <c r="D16" s="337" t="s">
        <v>2977</v>
      </c>
      <c r="E16" s="16" t="s">
        <v>2978</v>
      </c>
      <c r="F16" s="257" t="s">
        <v>2979</v>
      </c>
      <c r="G16" s="218" t="s">
        <v>2980</v>
      </c>
      <c r="H16" s="219" t="s">
        <v>2981</v>
      </c>
      <c r="I16" s="220" t="s">
        <v>2982</v>
      </c>
      <c r="J16" s="177"/>
    </row>
    <row r="17" spans="1:10" s="229" customFormat="1" ht="5.5" customHeight="1" thickBot="1" x14ac:dyDescent="0.25">
      <c r="A17" s="221"/>
      <c r="B17" s="222"/>
      <c r="C17" s="223"/>
      <c r="D17" s="225"/>
      <c r="E17" s="224"/>
      <c r="G17" s="226"/>
      <c r="H17" s="227"/>
      <c r="I17" s="228"/>
      <c r="J17" s="215"/>
    </row>
    <row r="18" spans="1:10" ht="176" customHeight="1" x14ac:dyDescent="0.2">
      <c r="A18" s="170"/>
      <c r="B18" s="341" t="s">
        <v>2983</v>
      </c>
      <c r="C18" s="230" t="s">
        <v>2984</v>
      </c>
      <c r="D18" s="278">
        <v>0.35</v>
      </c>
      <c r="E18" s="240">
        <v>0.35</v>
      </c>
      <c r="F18" s="258" t="s">
        <v>2985</v>
      </c>
      <c r="G18" s="231" t="s">
        <v>2986</v>
      </c>
      <c r="H18" s="149">
        <v>0.91</v>
      </c>
      <c r="I18" s="150">
        <v>0.91</v>
      </c>
      <c r="J18" s="177"/>
    </row>
    <row r="19" spans="1:10" ht="176" customHeight="1" x14ac:dyDescent="0.2">
      <c r="A19" s="170"/>
      <c r="B19" s="339"/>
      <c r="C19" s="232" t="s">
        <v>2987</v>
      </c>
      <c r="D19" s="279">
        <v>0.08</v>
      </c>
      <c r="E19" s="241">
        <v>0.08</v>
      </c>
      <c r="F19" s="259" t="s">
        <v>2988</v>
      </c>
      <c r="G19" s="233" t="s">
        <v>2989</v>
      </c>
      <c r="H19" s="151">
        <v>0.91</v>
      </c>
      <c r="I19" s="152">
        <v>0.91</v>
      </c>
      <c r="J19" s="177"/>
    </row>
    <row r="20" spans="1:10" ht="141" customHeight="1" thickBot="1" x14ac:dyDescent="0.25">
      <c r="A20" s="170"/>
      <c r="B20" s="340"/>
      <c r="C20" s="234" t="s">
        <v>2990</v>
      </c>
      <c r="D20" s="280">
        <v>0.01</v>
      </c>
      <c r="E20" s="242">
        <v>0.01</v>
      </c>
      <c r="F20" s="260" t="s">
        <v>2991</v>
      </c>
      <c r="G20" s="235" t="s">
        <v>2992</v>
      </c>
      <c r="H20" s="153">
        <v>0.05</v>
      </c>
      <c r="I20" s="154">
        <v>0.05</v>
      </c>
      <c r="J20" s="177"/>
    </row>
    <row r="21" spans="1:10" x14ac:dyDescent="0.2">
      <c r="B21" s="236"/>
      <c r="C21" s="236"/>
      <c r="D21" s="236"/>
      <c r="E21" s="236"/>
      <c r="F21" s="237"/>
      <c r="G21" s="237"/>
      <c r="H21" s="238"/>
      <c r="I21" s="236"/>
    </row>
  </sheetData>
  <sheetProtection algorithmName="SHA-512" hashValue="trYydgWa1GGXRWz/7moU/+hMTeb/eIWND+PT8NJPZb6JB9V6f3FEEk700Rpchy6fAqGoPmfF+SV+674cnSQJfA==" saltValue="mqG4Qt08Ln7bEqLlisg/PQ==" spinCount="100000" sheet="1" objects="1" scenarios="1"/>
  <mergeCells count="3">
    <mergeCell ref="B12:B16"/>
    <mergeCell ref="B18:B20"/>
    <mergeCell ref="B3:B11"/>
  </mergeCells>
  <dataValidations count="2">
    <dataValidation type="list" showInputMessage="1" showErrorMessage="1" sqref="E7" xr:uid="{00000000-0002-0000-0400-000000000000}">
      <formula1>"el año pasado, un año normal"</formula1>
    </dataValidation>
    <dataValidation type="list" showInputMessage="1" showErrorMessage="1" sqref="E9" xr:uid="{00000000-0002-0000-04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2023-10-19T10:43:43Z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2023-10-19T10:39:40Z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0014fcb1-2c7b-43ea-8350-cfe52c34a7db</vt:lpwstr>
  </property>
  <property fmtid="{D5CDD505-2E9C-101B-9397-08002B2CF9AE}" pid="8" name="MSIP_Label_46ec50b2-b191-4ad7-ba82-7deb0436e358_ContentBits">
    <vt:lpwstr>0</vt:lpwstr>
  </property>
</Properties>
</file>