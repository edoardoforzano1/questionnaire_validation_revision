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externalReferences>
    <externalReference xmlns:r="http://schemas.openxmlformats.org/officeDocument/2006/relationships" r:id="rId6"/>
  </externalReferences>
  <definedNames/>
  <calcPr calcId="191028" fullCalcOnLoad="1"/>
</workbook>
</file>

<file path=xl/styles.xml><?xml version="1.0" encoding="utf-8"?>
<styleSheet xmlns="http://schemas.openxmlformats.org/spreadsheetml/2006/main">
  <numFmts count="2">
    <numFmt numFmtId="164" formatCode="0.0%"/>
    <numFmt numFmtId="165" formatCode="0.0"/>
  </numFmts>
  <fonts count="4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Body)"/>
      <b val="1"/>
      <color rgb="FF7030A0"/>
      <sz val="11"/>
    </font>
    <font>
      <name val="Calibri (Body)"/>
      <sz val="11"/>
    </font>
    <font>
      <name val="Calibri"/>
      <family val="2"/>
      <sz val="8"/>
      <scheme val="minor"/>
    </font>
    <font>
      <name val="Calibri (Body)"/>
      <color theme="0" tint="-0.3499862666707358"/>
      <sz val="11"/>
    </font>
    <font>
      <name val="Calibri (Body)"/>
      <b val="1"/>
      <color rgb="FFC00000"/>
      <sz val="11"/>
    </font>
    <font>
      <name val="Calibri"/>
      <family val="2"/>
      <sz val="10"/>
      <scheme val="minor"/>
    </font>
    <font>
      <name val="Calibri"/>
      <family val="2"/>
      <sz val="9"/>
      <scheme val="minor"/>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C00000"/>
        <bgColor indexed="64"/>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s>
  <cellStyleXfs count="17">
    <xf numFmtId="0" fontId="11" fillId="0" borderId="0"/>
    <xf numFmtId="0" fontId="8" fillId="0" borderId="0"/>
    <xf numFmtId="0" fontId="11" fillId="0" borderId="0"/>
    <xf numFmtId="0" fontId="17" fillId="0" borderId="0"/>
    <xf numFmtId="0" fontId="8" fillId="0" borderId="0"/>
    <xf numFmtId="0" fontId="8" fillId="0" borderId="0"/>
    <xf numFmtId="0" fontId="22" fillId="4" borderId="14"/>
    <xf numFmtId="9"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11" fillId="0" borderId="0"/>
  </cellStyleXfs>
  <cellXfs count="296">
    <xf numFmtId="0" fontId="0" fillId="0" borderId="0" pivotButton="0" quotePrefix="0" xfId="0"/>
    <xf numFmtId="0" fontId="10" fillId="2" borderId="0" applyProtection="1" pivotButton="0" quotePrefix="0" xfId="0">
      <protection locked="0" hidden="0"/>
    </xf>
    <xf numFmtId="0" fontId="10"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2" fillId="2" borderId="0" applyProtection="1" pivotButton="0" quotePrefix="0" xfId="0">
      <protection locked="0" hidden="0"/>
    </xf>
    <xf numFmtId="0" fontId="10" fillId="0" borderId="0" pivotButton="0" quotePrefix="0" xfId="0"/>
    <xf numFmtId="0" fontId="15" fillId="2" borderId="0" applyProtection="1" pivotButton="0" quotePrefix="0" xfId="0">
      <protection locked="0" hidden="0"/>
    </xf>
    <xf numFmtId="0" fontId="9" fillId="2" borderId="0" applyProtection="1" pivotButton="0" quotePrefix="0" xfId="0">
      <protection locked="0" hidden="0"/>
    </xf>
    <xf numFmtId="0" fontId="23" fillId="2" borderId="7" applyAlignment="1" applyProtection="1" pivotButton="0" quotePrefix="0" xfId="6">
      <alignment horizontal="center" vertical="center"/>
      <protection locked="0" hidden="0"/>
    </xf>
    <xf numFmtId="0" fontId="14" fillId="0" borderId="0" applyProtection="1" pivotButton="0" quotePrefix="0" xfId="0">
      <protection locked="0" hidden="0"/>
    </xf>
    <xf numFmtId="0" fontId="15" fillId="0" borderId="0" applyProtection="1" pivotButton="0" quotePrefix="0" xfId="0">
      <protection locked="0" hidden="0"/>
    </xf>
    <xf numFmtId="0" fontId="9" fillId="0" borderId="0" applyProtection="1" pivotButton="0" quotePrefix="0" xfId="0">
      <protection locked="0" hidden="0"/>
    </xf>
    <xf numFmtId="0" fontId="13" fillId="0" borderId="0" applyProtection="1" pivotButton="0" quotePrefix="0" xfId="0">
      <protection locked="0" hidden="0"/>
    </xf>
    <xf numFmtId="0" fontId="12" fillId="0" borderId="0" applyProtection="1" pivotButton="0" quotePrefix="0" xfId="0">
      <protection locked="0" hidden="0"/>
    </xf>
    <xf numFmtId="0" fontId="13" fillId="2" borderId="0" applyProtection="1" pivotButton="0" quotePrefix="0" xfId="0">
      <protection locked="0" hidden="0"/>
    </xf>
    <xf numFmtId="0" fontId="5" fillId="0" borderId="2" pivotButton="0" quotePrefix="0" xfId="10"/>
    <xf numFmtId="0" fontId="5" fillId="0" borderId="13" pivotButton="0" quotePrefix="0" xfId="10"/>
    <xf numFmtId="0" fontId="5" fillId="0" borderId="6" pivotButton="0" quotePrefix="0" xfId="10"/>
    <xf numFmtId="0" fontId="5" fillId="0" borderId="23" pivotButton="0" quotePrefix="0" xfId="10"/>
    <xf numFmtId="0" fontId="19" fillId="0" borderId="33" applyAlignment="1" pivotButton="0" quotePrefix="0" xfId="10">
      <alignment horizontal="center" vertical="center" wrapText="1"/>
    </xf>
    <xf numFmtId="0" fontId="19" fillId="0" borderId="29" applyAlignment="1" pivotButton="0" quotePrefix="0" xfId="10">
      <alignment horizontal="center" vertical="center" wrapText="1"/>
    </xf>
    <xf numFmtId="0" fontId="20" fillId="0" borderId="29" applyAlignment="1" pivotButton="0" quotePrefix="0" xfId="10">
      <alignment horizontal="center" vertical="center" wrapText="1"/>
    </xf>
    <xf numFmtId="0" fontId="20" fillId="0" borderId="36" applyAlignment="1" pivotButton="0" quotePrefix="0" xfId="10">
      <alignment vertical="center" wrapText="1"/>
    </xf>
    <xf numFmtId="0" fontId="20" fillId="0" borderId="19" applyAlignment="1" pivotButton="0" quotePrefix="0" xfId="10">
      <alignment vertical="center" wrapText="1"/>
    </xf>
    <xf numFmtId="0" fontId="20" fillId="0" borderId="31" applyAlignment="1" pivotButton="0" quotePrefix="0" xfId="10">
      <alignment vertical="center" wrapText="1"/>
    </xf>
    <xf numFmtId="9" fontId="20" fillId="0" borderId="21" applyAlignment="1" pivotButton="0" quotePrefix="0" xfId="7">
      <alignment horizontal="center" vertical="center" wrapText="1"/>
    </xf>
    <xf numFmtId="9" fontId="20" fillId="0" borderId="22" applyAlignment="1" pivotButton="0" quotePrefix="0" xfId="7">
      <alignment horizontal="center" vertical="center" wrapText="1"/>
    </xf>
    <xf numFmtId="0" fontId="5" fillId="0" borderId="3" pivotButton="0" quotePrefix="0" xfId="10"/>
    <xf numFmtId="0" fontId="5" fillId="3" borderId="7" applyAlignment="1" applyProtection="1" pivotButton="0" quotePrefix="0" xfId="10">
      <alignment horizontal="center" vertical="center"/>
      <protection locked="0" hidden="0"/>
    </xf>
    <xf numFmtId="0" fontId="19" fillId="0" borderId="10" applyAlignment="1" pivotButton="0" quotePrefix="0" xfId="5">
      <alignment horizontal="left" vertical="center"/>
    </xf>
    <xf numFmtId="0" fontId="19" fillId="0" borderId="39" applyAlignment="1" pivotButton="0" quotePrefix="0" xfId="10">
      <alignment horizontal="left" vertical="center"/>
    </xf>
    <xf numFmtId="0" fontId="19" fillId="0" borderId="38" applyAlignment="1" pivotButton="0" quotePrefix="0" xfId="10">
      <alignment horizontal="left" vertical="center"/>
    </xf>
    <xf numFmtId="0" fontId="19" fillId="0" borderId="10" applyAlignment="1" pivotButton="0" quotePrefix="0" xfId="10">
      <alignment horizontal="left" vertical="center"/>
    </xf>
    <xf numFmtId="0" fontId="26" fillId="0" borderId="8" applyAlignment="1" pivotButton="0" quotePrefix="0" xfId="10">
      <alignment horizontal="center" vertical="center" wrapText="1"/>
    </xf>
    <xf numFmtId="0" fontId="26" fillId="0" borderId="5" applyAlignment="1" pivotButton="0" quotePrefix="0" xfId="10">
      <alignment horizontal="center" vertical="center" wrapText="1"/>
    </xf>
    <xf numFmtId="0" fontId="24" fillId="0" borderId="40" applyAlignment="1" applyProtection="1" pivotButton="0" quotePrefix="0" xfId="0">
      <alignment horizontal="center" vertical="center" wrapText="1"/>
      <protection locked="0" hidden="0"/>
    </xf>
    <xf numFmtId="0" fontId="5" fillId="0" borderId="41" pivotButton="0" quotePrefix="0" xfId="10"/>
    <xf numFmtId="0" fontId="5" fillId="0" borderId="13" applyAlignment="1" pivotButton="0" quotePrefix="0" xfId="10">
      <alignment vertical="center"/>
    </xf>
    <xf numFmtId="0" fontId="21" fillId="0" borderId="26" applyAlignment="1" pivotButton="0" quotePrefix="0" xfId="10">
      <alignment horizontal="center" vertical="center"/>
    </xf>
    <xf numFmtId="0" fontId="19" fillId="0" borderId="32" applyAlignment="1" pivotButton="0" quotePrefix="0" xfId="10">
      <alignment vertical="center" wrapText="1"/>
    </xf>
    <xf numFmtId="0" fontId="5" fillId="0" borderId="3" applyAlignment="1" pivotButton="0" quotePrefix="0" xfId="10">
      <alignment vertical="center"/>
    </xf>
    <xf numFmtId="0" fontId="5"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2" fillId="0" borderId="0" applyAlignment="1" applyProtection="1" pivotButton="0" quotePrefix="0" xfId="0">
      <alignment vertical="top" wrapText="1"/>
      <protection locked="0" hidden="0"/>
    </xf>
    <xf numFmtId="0" fontId="19" fillId="0" borderId="15" applyAlignment="1" pivotButton="0" quotePrefix="0" xfId="5">
      <alignment horizontal="left" vertical="center" wrapText="1"/>
    </xf>
    <xf numFmtId="0" fontId="26" fillId="0" borderId="15" applyAlignment="1" pivotButton="0" quotePrefix="0" xfId="10">
      <alignment horizontal="center" vertical="center" wrapText="1"/>
    </xf>
    <xf numFmtId="9" fontId="20" fillId="0" borderId="42" applyAlignment="1" pivotButton="0" quotePrefix="0" xfId="7">
      <alignment horizontal="center" vertical="center" wrapText="1"/>
    </xf>
    <xf numFmtId="0" fontId="38" fillId="0" borderId="16" applyAlignment="1" pivotButton="0" quotePrefix="0" xfId="10">
      <alignment vertical="center" wrapText="1"/>
    </xf>
    <xf numFmtId="0" fontId="38" fillId="0" borderId="7" applyAlignment="1" pivotButton="0" quotePrefix="0" xfId="10">
      <alignment vertical="center" wrapText="1"/>
    </xf>
    <xf numFmtId="0" fontId="38" fillId="0" borderId="4" applyAlignment="1" pivotButton="0" quotePrefix="0" xfId="10">
      <alignment vertical="center" wrapText="1"/>
    </xf>
    <xf numFmtId="0" fontId="5" fillId="5" borderId="6" pivotButton="0" quotePrefix="0" xfId="10"/>
    <xf numFmtId="0" fontId="5" fillId="5" borderId="34" applyAlignment="1" pivotButton="0" quotePrefix="0" xfId="10">
      <alignment wrapText="1"/>
    </xf>
    <xf numFmtId="0" fontId="19" fillId="5" borderId="35" applyAlignment="1" pivotButton="0" quotePrefix="0" xfId="10">
      <alignment vertical="center"/>
    </xf>
    <xf numFmtId="0" fontId="20" fillId="5" borderId="36" applyAlignment="1" pivotButton="0" quotePrefix="0" xfId="10">
      <alignment vertical="center" wrapText="1"/>
    </xf>
    <xf numFmtId="0" fontId="20" fillId="5" borderId="37" applyAlignment="1" pivotButton="0" quotePrefix="0" xfId="10">
      <alignment horizontal="center" vertical="center" wrapText="1"/>
    </xf>
    <xf numFmtId="0" fontId="5" fillId="5" borderId="23" pivotButton="0" quotePrefix="0" xfId="10"/>
    <xf numFmtId="0" fontId="5" fillId="5" borderId="2" pivotButton="0" quotePrefix="0" xfId="10"/>
    <xf numFmtId="0" fontId="19" fillId="0" borderId="8" applyAlignment="1" pivotButton="0" quotePrefix="0" xfId="10">
      <alignment horizontal="left" vertical="center" wrapText="1"/>
    </xf>
    <xf numFmtId="0" fontId="5" fillId="0" borderId="6" applyAlignment="1" pivotButton="0" quotePrefix="0" xfId="10">
      <alignment vertical="center"/>
    </xf>
    <xf numFmtId="0" fontId="5" fillId="0" borderId="25" applyAlignment="1" pivotButton="0" quotePrefix="0" xfId="10">
      <alignment vertical="center"/>
    </xf>
    <xf numFmtId="0" fontId="21" fillId="0" borderId="12" applyAlignment="1" pivotButton="0" quotePrefix="0" xfId="10">
      <alignment horizontal="center" vertical="center" wrapText="1"/>
    </xf>
    <xf numFmtId="0" fontId="21" fillId="0" borderId="11" applyAlignment="1" pivotButton="0" quotePrefix="0" xfId="10">
      <alignment horizontal="center" vertical="center"/>
    </xf>
    <xf numFmtId="0" fontId="21" fillId="0" borderId="18" applyAlignment="1" pivotButton="0" quotePrefix="0" xfId="10">
      <alignment horizontal="center" vertical="center"/>
    </xf>
    <xf numFmtId="0" fontId="5" fillId="0" borderId="23" applyAlignment="1" pivotButton="0" quotePrefix="0" xfId="10">
      <alignment vertical="center"/>
    </xf>
    <xf numFmtId="0" fontId="11" fillId="0" borderId="43" applyAlignment="1" pivotButton="0" quotePrefix="0" xfId="5">
      <alignment horizontal="center" vertical="center"/>
    </xf>
    <xf numFmtId="0" fontId="11" fillId="0" borderId="44" applyAlignment="1" pivotButton="0" quotePrefix="0" xfId="5">
      <alignment horizontal="center" vertical="center"/>
    </xf>
    <xf numFmtId="0" fontId="10" fillId="0" borderId="0" applyAlignment="1" pivotButton="0" quotePrefix="0" xfId="0">
      <alignment vertical="top"/>
    </xf>
    <xf numFmtId="0" fontId="10" fillId="2" borderId="0" applyAlignment="1" applyProtection="1" pivotButton="0" quotePrefix="0" xfId="0">
      <alignment vertical="top" wrapText="1"/>
      <protection locked="0" hidden="0"/>
    </xf>
    <xf numFmtId="0" fontId="10" fillId="2"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24" fillId="0" borderId="0" applyAlignment="1" applyProtection="1" pivotButton="0" quotePrefix="0" xfId="0">
      <alignment vertical="top"/>
      <protection locked="0" hidden="0"/>
    </xf>
    <xf numFmtId="0" fontId="0" fillId="0" borderId="0" applyAlignment="1" pivotButton="0" quotePrefix="0" xfId="0">
      <alignment vertical="top"/>
    </xf>
    <xf numFmtId="0" fontId="12"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top" wrapText="1"/>
      <protection locked="0" hidden="0"/>
    </xf>
    <xf numFmtId="0" fontId="13" fillId="2" borderId="0" applyAlignment="1" applyProtection="1" pivotButton="0" quotePrefix="0" xfId="0">
      <alignment vertical="top" wrapText="1"/>
      <protection locked="0" hidden="0"/>
    </xf>
    <xf numFmtId="0" fontId="12" fillId="0" borderId="0" applyAlignment="1" pivotButton="0" quotePrefix="0" xfId="0">
      <alignment vertical="top"/>
    </xf>
    <xf numFmtId="0" fontId="12" fillId="0" borderId="0" applyAlignment="1" pivotButton="0" quotePrefix="0" xfId="0">
      <alignment vertical="top" wrapText="1"/>
    </xf>
    <xf numFmtId="0" fontId="24" fillId="0" borderId="0" applyAlignment="1" pivotButton="0" quotePrefix="0" xfId="0">
      <alignment vertical="top"/>
    </xf>
    <xf numFmtId="0" fontId="13"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2" fillId="0" borderId="1" applyAlignment="1" applyProtection="1" pivotButton="0" quotePrefix="0" xfId="0">
      <alignment vertical="top"/>
      <protection locked="0" hidden="0"/>
    </xf>
    <xf numFmtId="0" fontId="12" fillId="0" borderId="1" applyAlignment="1" applyProtection="1" pivotButton="0" quotePrefix="0" xfId="0">
      <alignment vertical="top" wrapText="1"/>
      <protection locked="0" hidden="0"/>
    </xf>
    <xf numFmtId="0" fontId="12" fillId="2" borderId="1" applyAlignment="1" applyProtection="1" pivotButton="0" quotePrefix="0" xfId="0">
      <alignment vertical="top" wrapText="1"/>
      <protection locked="0" hidden="0"/>
    </xf>
    <xf numFmtId="0" fontId="12" fillId="2" borderId="1" applyAlignment="1" applyProtection="1" pivotButton="0" quotePrefix="0" xfId="0">
      <alignment vertical="top"/>
      <protection locked="0" hidden="0"/>
    </xf>
    <xf numFmtId="0" fontId="10" fillId="0" borderId="0" applyAlignment="1" pivotButton="0" quotePrefix="0" xfId="0">
      <alignment vertical="top" wrapText="1"/>
    </xf>
    <xf numFmtId="0" fontId="10"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12" fillId="0" borderId="1" applyAlignment="1" pivotButton="0" quotePrefix="0" xfId="0">
      <alignment vertical="top"/>
    </xf>
    <xf numFmtId="0" fontId="12" fillId="0" borderId="1" applyAlignment="1" pivotButton="0" quotePrefix="0" xfId="0">
      <alignment vertical="top" wrapText="1"/>
    </xf>
    <xf numFmtId="0" fontId="12" fillId="2" borderId="0" applyAlignment="1" applyProtection="1" pivotButton="0" quotePrefix="0" xfId="0">
      <alignment vertical="top" wrapText="1"/>
      <protection locked="0" hidden="0"/>
    </xf>
    <xf numFmtId="0" fontId="14" fillId="0"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4" fillId="0" borderId="0" applyAlignment="1" pivotButton="0" quotePrefix="0" xfId="0">
      <alignment vertical="top" wrapText="1"/>
    </xf>
    <xf numFmtId="0" fontId="16" fillId="2" borderId="0" applyAlignment="1" applyProtection="1" pivotButton="0" quotePrefix="0" xfId="0">
      <alignment vertical="top"/>
      <protection locked="0" hidden="0"/>
    </xf>
    <xf numFmtId="0" fontId="14" fillId="2" borderId="0" applyAlignment="1" applyProtection="1" pivotButton="0" quotePrefix="0" xfId="0">
      <alignment vertical="top"/>
      <protection locked="0" hidden="0"/>
    </xf>
    <xf numFmtId="0" fontId="14" fillId="0" borderId="0" applyAlignment="1" pivotButton="0" quotePrefix="0" xfId="0">
      <alignment vertical="top"/>
    </xf>
    <xf numFmtId="164" fontId="12" fillId="0" borderId="0" applyAlignment="1" applyProtection="1" pivotButton="0" quotePrefix="0" xfId="0">
      <alignment vertical="top"/>
      <protection locked="0" hidden="0"/>
    </xf>
    <xf numFmtId="9" fontId="12"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0" fillId="0" borderId="0" applyAlignment="1" pivotButton="0" quotePrefix="0" xfId="0">
      <alignment horizontal="center" vertical="center"/>
    </xf>
    <xf numFmtId="0" fontId="10" fillId="0" borderId="0" applyAlignment="1" pivotButton="0" quotePrefix="0" xfId="0">
      <alignment horizontal="center" vertical="center" wrapText="1"/>
    </xf>
    <xf numFmtId="0" fontId="10" fillId="2"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protection locked="0" hidden="0"/>
    </xf>
    <xf numFmtId="0" fontId="24"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3" fillId="0" borderId="0" applyAlignment="1" applyProtection="1" pivotButton="0" quotePrefix="0" xfId="0">
      <alignment vertical="center"/>
      <protection locked="0" hidden="0"/>
    </xf>
    <xf numFmtId="0" fontId="12" fillId="0" borderId="0" applyAlignment="1" pivotButton="0" quotePrefix="0" xfId="0">
      <alignment vertical="center"/>
    </xf>
    <xf numFmtId="0" fontId="13" fillId="0" borderId="1" applyAlignment="1" applyProtection="1" pivotButton="0" quotePrefix="0" xfId="0">
      <alignment vertical="center"/>
      <protection locked="0" hidden="0"/>
    </xf>
    <xf numFmtId="0" fontId="12" fillId="0" borderId="1" applyAlignment="1" applyProtection="1" pivotButton="0" quotePrefix="0" xfId="0">
      <alignment vertical="center"/>
      <protection locked="0" hidden="0"/>
    </xf>
    <xf numFmtId="0" fontId="10" fillId="0" borderId="0" applyAlignment="1" pivotButton="0" quotePrefix="0" xfId="0">
      <alignment vertical="center"/>
    </xf>
    <xf numFmtId="0" fontId="10"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2" fillId="0" borderId="0" applyAlignment="1" applyProtection="1" pivotButton="0" quotePrefix="0" xfId="0">
      <alignment vertical="center"/>
      <protection locked="0" hidden="0"/>
    </xf>
    <xf numFmtId="0" fontId="32" fillId="0" borderId="0" applyAlignment="1" pivotButton="0" quotePrefix="0" xfId="0">
      <alignment vertical="center"/>
    </xf>
    <xf numFmtId="0" fontId="13" fillId="0" borderId="0" applyAlignment="1" pivotButton="0" quotePrefix="0" xfId="0">
      <alignment vertical="center"/>
    </xf>
    <xf numFmtId="0" fontId="12" fillId="0" borderId="1" applyAlignment="1" pivotButton="0" quotePrefix="0" xfId="0">
      <alignment vertical="center"/>
    </xf>
    <xf numFmtId="0" fontId="12" fillId="0" borderId="0" applyAlignment="1" applyProtection="1" pivotButton="0" quotePrefix="0" xfId="0">
      <alignment vertical="center"/>
      <protection locked="0" hidden="0"/>
    </xf>
    <xf numFmtId="0" fontId="0" fillId="0" borderId="1" applyAlignment="1" pivotButton="0" quotePrefix="0" xfId="0">
      <alignment vertical="center"/>
    </xf>
    <xf numFmtId="0" fontId="24" fillId="0" borderId="0" applyAlignment="1" pivotButton="0" quotePrefix="0" xfId="0">
      <alignment vertical="center"/>
    </xf>
    <xf numFmtId="0" fontId="16" fillId="0" borderId="0" applyAlignment="1" applyProtection="1" pivotButton="0" quotePrefix="0" xfId="0">
      <alignment vertical="center"/>
      <protection locked="0" hidden="0"/>
    </xf>
    <xf numFmtId="0" fontId="13" fillId="0" borderId="0" applyAlignment="1" applyProtection="1" pivotButton="0" quotePrefix="0" xfId="0">
      <alignment vertical="center" wrapText="1"/>
      <protection locked="0" hidden="0"/>
    </xf>
    <xf numFmtId="0" fontId="9" fillId="0" borderId="0" applyAlignment="1" pivotButton="0" quotePrefix="0" xfId="0">
      <alignment vertical="center"/>
    </xf>
    <xf numFmtId="0" fontId="19" fillId="0" borderId="5" applyAlignment="1" pivotButton="0" quotePrefix="0" xfId="10">
      <alignment horizontal="left" vertical="center" wrapText="1"/>
    </xf>
    <xf numFmtId="0" fontId="19" fillId="0" borderId="8" applyAlignment="1" pivotButton="0" quotePrefix="0" xfId="10">
      <alignment horizontal="left" vertical="center"/>
    </xf>
    <xf numFmtId="0" fontId="20" fillId="0" borderId="19" applyAlignment="1" pivotButton="0" quotePrefix="0" xfId="5">
      <alignment vertical="center" wrapText="1"/>
    </xf>
    <xf numFmtId="0" fontId="5" fillId="5" borderId="24" applyAlignment="1" pivotButton="0" quotePrefix="0" xfId="10">
      <alignment horizontal="center" vertical="center"/>
    </xf>
    <xf numFmtId="0" fontId="20" fillId="0" borderId="22" applyAlignment="1" pivotButton="0" quotePrefix="0" xfId="10">
      <alignment horizontal="center" vertical="center" wrapText="1"/>
    </xf>
    <xf numFmtId="0" fontId="0" fillId="0" borderId="2" pivotButton="0" quotePrefix="0" xfId="0"/>
    <xf numFmtId="0" fontId="12"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0" fillId="0" borderId="7" applyAlignment="1" pivotButton="0" quotePrefix="0" xfId="0">
      <alignment horizontal="center" vertical="center" wrapText="1"/>
    </xf>
    <xf numFmtId="0" fontId="24" fillId="0" borderId="7" applyAlignment="1" pivotButton="0" quotePrefix="0" xfId="0">
      <alignment horizontal="center" vertical="center"/>
    </xf>
    <xf numFmtId="0" fontId="24" fillId="0" borderId="7" applyAlignment="1" pivotButton="0" quotePrefix="0" xfId="0">
      <alignment horizontal="center" vertical="center" wrapText="1"/>
    </xf>
    <xf numFmtId="0" fontId="12" fillId="0" borderId="7" applyAlignment="1" pivotButton="0" quotePrefix="0" xfId="0">
      <alignment horizontal="center" vertical="center"/>
    </xf>
    <xf numFmtId="0" fontId="12" fillId="0" borderId="7" applyAlignment="1" pivotButton="0" quotePrefix="0" xfId="0">
      <alignment wrapText="1"/>
    </xf>
    <xf numFmtId="0" fontId="24" fillId="0" borderId="7" applyAlignment="1" pivotButton="0" quotePrefix="0" xfId="0">
      <alignment wrapText="1"/>
    </xf>
    <xf numFmtId="0" fontId="12"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2"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39" fillId="0" borderId="0" applyAlignment="1" pivotButton="0" quotePrefix="0" xfId="0">
      <alignment vertical="center"/>
    </xf>
    <xf numFmtId="0" fontId="39" fillId="0" borderId="0" applyAlignment="1" pivotButton="0" quotePrefix="0" xfId="0">
      <alignment vertical="top"/>
    </xf>
    <xf numFmtId="0" fontId="39" fillId="0" borderId="0" applyAlignment="1" pivotButton="0" quotePrefix="0" xfId="0">
      <alignment vertical="top" wrapText="1"/>
    </xf>
    <xf numFmtId="0" fontId="39" fillId="0" borderId="0" applyAlignment="1" applyProtection="1" pivotButton="0" quotePrefix="0" xfId="0">
      <alignment vertical="top"/>
      <protection locked="0" hidden="0"/>
    </xf>
    <xf numFmtId="0" fontId="39" fillId="2" borderId="0" applyAlignment="1" applyProtection="1" pivotButton="0" quotePrefix="0" xfId="0">
      <alignment vertical="top" wrapText="1"/>
      <protection locked="0" hidden="0"/>
    </xf>
    <xf numFmtId="0" fontId="39" fillId="2" borderId="0" applyAlignment="1" applyProtection="1" pivotButton="0" quotePrefix="0" xfId="0">
      <alignment vertical="top"/>
      <protection locked="0" hidden="0"/>
    </xf>
    <xf numFmtId="0" fontId="25" fillId="0" borderId="0" applyAlignment="1" applyProtection="1" pivotButton="0" quotePrefix="0" xfId="0">
      <alignment vertical="top" wrapText="1"/>
      <protection locked="0" hidden="0"/>
    </xf>
    <xf numFmtId="9" fontId="13" fillId="0" borderId="0" applyAlignment="1" applyProtection="1" pivotButton="0" quotePrefix="0" xfId="0">
      <alignment vertical="top"/>
      <protection locked="0" hidden="0"/>
    </xf>
    <xf numFmtId="0" fontId="18" fillId="0" borderId="0" applyAlignment="1" applyProtection="1" pivotButton="0" quotePrefix="0" xfId="0">
      <alignment vertical="top"/>
      <protection locked="0" hidden="0"/>
    </xf>
    <xf numFmtId="9" fontId="12" fillId="0" borderId="0" applyAlignment="1" applyProtection="1" pivotButton="0" quotePrefix="0" xfId="7">
      <alignment vertical="top"/>
      <protection locked="0" hidden="0"/>
    </xf>
    <xf numFmtId="165" fontId="12" fillId="0" borderId="0" applyAlignment="1" applyProtection="1" pivotButton="0" quotePrefix="0" xfId="0">
      <alignment vertical="top"/>
      <protection locked="0" hidden="0"/>
    </xf>
    <xf numFmtId="165" fontId="12" fillId="0" borderId="0" applyAlignment="1" applyProtection="1" pivotButton="0" quotePrefix="0" xfId="0">
      <alignment vertical="top" wrapText="1"/>
      <protection locked="0" hidden="0"/>
    </xf>
    <xf numFmtId="9" fontId="12" fillId="0" borderId="0" applyAlignment="1" applyProtection="1" pivotButton="0" quotePrefix="0" xfId="7">
      <alignment vertical="top" wrapText="1"/>
      <protection locked="0" hidden="0"/>
    </xf>
    <xf numFmtId="9" fontId="12"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9" fontId="13" fillId="0" borderId="0" applyAlignment="1" applyProtection="1" pivotButton="0" quotePrefix="0" xfId="7">
      <alignment vertical="top"/>
      <protection locked="0" hidden="0"/>
    </xf>
    <xf numFmtId="9" fontId="24" fillId="0" borderId="17" applyAlignment="1" applyProtection="1" pivotButton="0" quotePrefix="0" xfId="7">
      <alignment vertical="top"/>
      <protection locked="0" hidden="0"/>
    </xf>
    <xf numFmtId="0" fontId="24" fillId="0" borderId="18" applyAlignment="1" applyProtection="1" pivotButton="0" quotePrefix="0" xfId="0">
      <alignment vertical="top"/>
      <protection locked="0" hidden="0"/>
    </xf>
    <xf numFmtId="0" fontId="24" fillId="2" borderId="0" applyAlignment="1" applyProtection="1" pivotButton="0" quotePrefix="0" xfId="0">
      <alignment vertical="top" wrapText="1"/>
      <protection locked="0" hidden="0"/>
    </xf>
    <xf numFmtId="0" fontId="24"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39" fillId="0" borderId="0" applyAlignment="1" pivotButton="0" quotePrefix="0" xfId="0">
      <alignment horizontal="left" vertical="top" wrapText="1"/>
    </xf>
    <xf numFmtId="164" fontId="5" fillId="2" borderId="16" applyAlignment="1" pivotButton="0" quotePrefix="0" xfId="10">
      <alignment horizontal="center" vertical="center"/>
    </xf>
    <xf numFmtId="164" fontId="5" fillId="2" borderId="7" applyAlignment="1" pivotButton="0" quotePrefix="0" xfId="10">
      <alignment horizontal="center" vertical="center"/>
    </xf>
    <xf numFmtId="164" fontId="5" fillId="2" borderId="4" applyAlignment="1" pivotButton="0" quotePrefix="0" xfId="10">
      <alignment horizontal="center" vertical="center"/>
    </xf>
    <xf numFmtId="1" fontId="37" fillId="2" borderId="7" applyAlignment="1" applyProtection="1" pivotButton="0" quotePrefix="0" xfId="5">
      <alignment horizontal="center" vertical="center"/>
      <protection locked="0" hidden="0"/>
    </xf>
    <xf numFmtId="49" fontId="39" fillId="0" borderId="0" applyAlignment="1" applyProtection="1" pivotButton="0" quotePrefix="0" xfId="0">
      <alignment horizontal="left" vertical="top" wrapText="1"/>
      <protection locked="0" hidden="0"/>
    </xf>
    <xf numFmtId="0" fontId="39" fillId="0" borderId="0" applyAlignment="1" applyProtection="1" pivotButton="0" quotePrefix="0" xfId="0">
      <alignment vertical="center"/>
      <protection locked="0" hidden="0"/>
    </xf>
    <xf numFmtId="0" fontId="20" fillId="0" borderId="16" applyAlignment="1" pivotButton="0" quotePrefix="0" xfId="5">
      <alignment vertical="center" wrapText="1"/>
    </xf>
    <xf numFmtId="0" fontId="19" fillId="0" borderId="9" applyAlignment="1" pivotButton="0" quotePrefix="0" xfId="5">
      <alignment vertical="center" wrapText="1"/>
    </xf>
    <xf numFmtId="0" fontId="19" fillId="0" borderId="7" applyAlignment="1" pivotButton="0" quotePrefix="0" xfId="5">
      <alignment vertical="center" wrapText="1"/>
    </xf>
    <xf numFmtId="0" fontId="20"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3" fillId="0" borderId="7" applyAlignment="1" pivotButton="0" quotePrefix="0" xfId="6">
      <alignment horizontal="center" vertical="center"/>
    </xf>
    <xf numFmtId="0" fontId="12" fillId="0" borderId="0" applyAlignment="1" applyProtection="1" pivotButton="0" quotePrefix="0" xfId="0">
      <alignment horizontal="right" vertical="top"/>
      <protection locked="0" hidden="0"/>
    </xf>
    <xf numFmtId="165" fontId="12" fillId="0" borderId="0" applyAlignment="1" applyProtection="1" pivotButton="0" quotePrefix="0" xfId="0">
      <alignment horizontal="right" vertical="top"/>
      <protection locked="0" hidden="0"/>
    </xf>
    <xf numFmtId="165" fontId="12" fillId="0" borderId="0" applyAlignment="1" pivotButton="0" quotePrefix="0" xfId="0">
      <alignment horizontal="right" vertical="top"/>
    </xf>
    <xf numFmtId="0" fontId="24" fillId="0" borderId="17" applyAlignment="1" applyProtection="1" pivotButton="0" quotePrefix="0" xfId="0">
      <alignment horizontal="right" vertical="top"/>
      <protection locked="0" hidden="0"/>
    </xf>
    <xf numFmtId="165" fontId="12" fillId="0" borderId="0" applyAlignment="1" applyProtection="1" pivotButton="0" quotePrefix="0" xfId="0">
      <alignment horizontal="right" vertical="top" wrapText="1"/>
      <protection locked="0" hidden="0"/>
    </xf>
    <xf numFmtId="165" fontId="13" fillId="0" borderId="0" applyAlignment="1" applyProtection="1" pivotButton="0" quotePrefix="0" xfId="0">
      <alignment horizontal="right" vertical="top"/>
      <protection locked="0" hidden="0"/>
    </xf>
    <xf numFmtId="0" fontId="10" fillId="0" borderId="34" applyAlignment="1" applyProtection="1" pivotButton="0" quotePrefix="0" xfId="0">
      <alignment horizontal="center" vertical="center" wrapText="1"/>
      <protection locked="0" hidden="0"/>
    </xf>
    <xf numFmtId="0" fontId="24" fillId="6" borderId="12" applyAlignment="1" applyProtection="1" pivotButton="0" quotePrefix="0" xfId="0">
      <alignment horizontal="center" vertical="center" wrapText="1"/>
      <protection locked="0" hidden="0"/>
    </xf>
    <xf numFmtId="9" fontId="24" fillId="6" borderId="11" applyAlignment="1" applyProtection="1" pivotButton="0" quotePrefix="0" xfId="7">
      <alignment horizontal="center" vertical="center" wrapText="1"/>
      <protection locked="0" hidden="0"/>
    </xf>
    <xf numFmtId="0" fontId="24" fillId="6" borderId="11" applyAlignment="1" applyProtection="1" pivotButton="0" quotePrefix="0" xfId="0">
      <alignment horizontal="center" vertical="center" wrapText="1"/>
      <protection locked="0" hidden="0"/>
    </xf>
    <xf numFmtId="0" fontId="23" fillId="0" borderId="20" applyProtection="1" pivotButton="0" quotePrefix="0" xfId="0">
      <protection locked="0" hidden="0"/>
    </xf>
    <xf numFmtId="0" fontId="0" fillId="0" borderId="17" applyAlignment="1" applyProtection="1" pivotButton="0" quotePrefix="0" xfId="0">
      <alignment vertical="top"/>
      <protection locked="0" hidden="0"/>
    </xf>
    <xf numFmtId="0" fontId="6" fillId="0" borderId="6" pivotButton="0" quotePrefix="0" xfId="5"/>
    <xf numFmtId="0" fontId="19" fillId="0" borderId="8" applyAlignment="1" pivotButton="0" quotePrefix="0" xfId="5">
      <alignment vertical="center"/>
    </xf>
    <xf numFmtId="0" fontId="19" fillId="0" borderId="19" applyAlignment="1" pivotButton="0" quotePrefix="0" xfId="5">
      <alignment horizontal="left" vertical="center" wrapText="1"/>
    </xf>
    <xf numFmtId="0" fontId="19" fillId="0" borderId="29" applyAlignment="1" pivotButton="0" quotePrefix="0" xfId="5">
      <alignment horizontal="center" vertical="center" wrapText="1"/>
    </xf>
    <xf numFmtId="0" fontId="6" fillId="0" borderId="23" pivotButton="0" quotePrefix="0" xfId="5"/>
    <xf numFmtId="0" fontId="6" fillId="0" borderId="2" pivotButton="0" quotePrefix="0" xfId="5"/>
    <xf numFmtId="9" fontId="13" fillId="0" borderId="0" applyAlignment="1" applyProtection="1" pivotButton="0" quotePrefix="0" xfId="7">
      <alignment vertical="top"/>
      <protection locked="0" hidden="0"/>
    </xf>
    <xf numFmtId="0" fontId="13" fillId="3" borderId="0" applyProtection="1" pivotButton="0" quotePrefix="0" xfId="0">
      <protection locked="0" hidden="0"/>
    </xf>
    <xf numFmtId="0" fontId="25" fillId="2" borderId="0" applyProtection="1" pivotButton="0" quotePrefix="0" xfId="0">
      <protection locked="0" hidden="0"/>
    </xf>
    <xf numFmtId="0" fontId="25" fillId="0" borderId="0" applyProtection="1" pivotButton="0" quotePrefix="0" xfId="0">
      <protection locked="0" hidden="0"/>
    </xf>
    <xf numFmtId="0" fontId="0" fillId="3" borderId="0" applyProtection="1" pivotButton="0" quotePrefix="0" xfId="0">
      <protection locked="0" hidden="0"/>
    </xf>
    <xf numFmtId="0" fontId="20" fillId="0" borderId="29" applyAlignment="1" pivotButton="0" quotePrefix="0" xfId="5">
      <alignment horizontal="center" vertical="center" wrapText="1"/>
    </xf>
    <xf numFmtId="0" fontId="20" fillId="0" borderId="37" applyAlignment="1" pivotButton="0" quotePrefix="0" xfId="5">
      <alignment horizontal="center" vertical="center" wrapText="1"/>
    </xf>
    <xf numFmtId="0" fontId="19" fillId="0" borderId="45" applyAlignment="1" pivotButton="0" quotePrefix="0" xfId="5">
      <alignment vertical="center"/>
    </xf>
    <xf numFmtId="0" fontId="19" fillId="0" borderId="35" applyAlignment="1" pivotButton="0" quotePrefix="0" xfId="5">
      <alignment vertical="center"/>
    </xf>
    <xf numFmtId="9" fontId="12" fillId="0" borderId="0" applyAlignment="1" pivotButton="0" quotePrefix="0" xfId="7">
      <alignment vertical="top"/>
    </xf>
    <xf numFmtId="165" fontId="12" fillId="0" borderId="0" applyAlignment="1" pivotButton="0" quotePrefix="0" xfId="0">
      <alignment vertical="top"/>
    </xf>
    <xf numFmtId="0" fontId="14" fillId="0" borderId="0" pivotButton="0" quotePrefix="0" xfId="0"/>
    <xf numFmtId="0" fontId="12" fillId="0" borderId="0" pivotButton="0" quotePrefix="0" xfId="0"/>
    <xf numFmtId="0" fontId="13" fillId="0" borderId="0" pivotButton="0" quotePrefix="0" xfId="0"/>
    <xf numFmtId="0" fontId="29" fillId="0" borderId="0" pivotButton="0" quotePrefix="0" xfId="0"/>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5">
      <alignment horizontal="center" vertical="center"/>
      <protection locked="0" hidden="0"/>
    </xf>
    <xf numFmtId="0" fontId="2" fillId="0" borderId="2" pivotButton="0" quotePrefix="0" xfId="10"/>
    <xf numFmtId="0" fontId="2" fillId="3" borderId="7" applyAlignment="1" applyProtection="1" pivotButton="0" quotePrefix="0" xfId="10">
      <alignment horizontal="center" vertical="center"/>
      <protection locked="0" hidden="0"/>
    </xf>
    <xf numFmtId="2" fontId="2" fillId="3" borderId="24" applyAlignment="1" applyProtection="1" pivotButton="0" quotePrefix="0" xfId="5">
      <alignment horizontal="center" vertical="center"/>
      <protection locked="0" hidden="0"/>
    </xf>
    <xf numFmtId="2" fontId="2" fillId="3" borderId="7" applyAlignment="1" applyProtection="1" pivotButton="0" quotePrefix="0" xfId="10">
      <alignment horizontal="center" vertical="center"/>
      <protection locked="0" hidden="0"/>
    </xf>
    <xf numFmtId="165" fontId="12" fillId="5" borderId="0" applyAlignment="1" applyProtection="1" pivotButton="0" quotePrefix="0" xfId="0">
      <alignment horizontal="right" vertical="top"/>
      <protection locked="0" hidden="0"/>
    </xf>
    <xf numFmtId="9" fontId="12" fillId="5" borderId="0" applyAlignment="1" applyProtection="1" pivotButton="0" quotePrefix="0" xfId="7">
      <alignment vertical="top"/>
      <protection locked="0" hidden="0"/>
    </xf>
    <xf numFmtId="165" fontId="12" fillId="5" borderId="0" applyAlignment="1" applyProtection="1" pivotButton="0" quotePrefix="0" xfId="0">
      <alignment vertical="top"/>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10" fillId="2" borderId="0" applyAlignment="1" applyProtection="1" pivotButton="0" quotePrefix="0" xfId="0">
      <alignment vertical="center" wrapText="1"/>
      <protection locked="0" hidden="0"/>
    </xf>
    <xf numFmtId="0" fontId="0" fillId="7" borderId="0" applyProtection="1" pivotButton="0" quotePrefix="0" xfId="0">
      <protection locked="0" hidden="0"/>
    </xf>
    <xf numFmtId="0" fontId="12" fillId="7" borderId="0" applyProtection="1" pivotButton="0" quotePrefix="0" xfId="0">
      <protection locked="0" hidden="0"/>
    </xf>
    <xf numFmtId="0" fontId="15" fillId="7" borderId="0" applyProtection="1" pivotButton="0" quotePrefix="0" xfId="0">
      <protection locked="0" hidden="0"/>
    </xf>
    <xf numFmtId="0" fontId="47" fillId="7" borderId="0" applyAlignment="1" applyProtection="1" pivotButton="0" quotePrefix="0" xfId="0">
      <alignment horizontal="left" vertical="center" wrapText="1"/>
      <protection locked="0" hidden="0"/>
    </xf>
    <xf numFmtId="0" fontId="47" fillId="7" borderId="0" applyAlignment="1" applyProtection="1" pivotButton="0" quotePrefix="0" xfId="0">
      <alignment wrapText="1"/>
      <protection locked="0" hidden="0"/>
    </xf>
    <xf numFmtId="0" fontId="46" fillId="7" borderId="46" applyAlignment="1" applyProtection="1" pivotButton="0" quotePrefix="0" xfId="0">
      <alignment horizontal="left" vertical="center"/>
      <protection locked="0" hidden="0"/>
    </xf>
    <xf numFmtId="0" fontId="0" fillId="7" borderId="0" applyAlignment="1" applyProtection="1" pivotButton="0" quotePrefix="0" xfId="0">
      <alignment wrapText="1"/>
      <protection locked="0" hidden="0"/>
    </xf>
    <xf numFmtId="0" fontId="12" fillId="7" borderId="0" applyAlignment="1" applyProtection="1" pivotButton="0" quotePrefix="0" xfId="0">
      <alignment vertical="top"/>
      <protection locked="0" hidden="0"/>
    </xf>
    <xf numFmtId="0" fontId="0" fillId="7" borderId="0" applyAlignment="1" applyProtection="1" pivotButton="0" quotePrefix="0" xfId="0">
      <alignment vertical="top"/>
      <protection locked="0" hidden="0"/>
    </xf>
    <xf numFmtId="0" fontId="0" fillId="7" borderId="0" applyAlignment="1" applyProtection="1" pivotButton="0" quotePrefix="0" xfId="0">
      <alignment vertical="top" wrapText="1"/>
      <protection locked="0" hidden="0"/>
    </xf>
    <xf numFmtId="0" fontId="0" fillId="7" borderId="0" applyAlignment="1" applyProtection="1" pivotButton="0" quotePrefix="0" xfId="0">
      <alignment vertical="center"/>
      <protection locked="0" hidden="0"/>
    </xf>
    <xf numFmtId="0" fontId="12" fillId="7" borderId="0" applyAlignment="1" applyProtection="1" pivotButton="0" quotePrefix="0" xfId="0">
      <alignment vertical="center"/>
      <protection locked="0" hidden="0"/>
    </xf>
    <xf numFmtId="165" fontId="12" fillId="7" borderId="0" applyAlignment="1" applyProtection="1" pivotButton="0" quotePrefix="0" xfId="0">
      <alignment horizontal="right" vertical="top"/>
      <protection locked="0" hidden="0"/>
    </xf>
    <xf numFmtId="9" fontId="12" fillId="7" borderId="0" applyAlignment="1" applyProtection="1" pivotButton="0" quotePrefix="0" xfId="7">
      <alignment vertical="top"/>
      <protection locked="0" hidden="0"/>
    </xf>
    <xf numFmtId="165" fontId="12" fillId="7" borderId="0" applyAlignment="1" applyProtection="1" pivotButton="0" quotePrefix="0" xfId="0">
      <alignment vertical="top"/>
      <protection locked="0" hidden="0"/>
    </xf>
    <xf numFmtId="0" fontId="0" fillId="5" borderId="0" applyAlignment="1" applyProtection="1" pivotButton="0" quotePrefix="0" xfId="0">
      <alignment vertical="top" wrapText="1"/>
      <protection locked="0" hidden="0"/>
    </xf>
    <xf numFmtId="0" fontId="13" fillId="7" borderId="0" applyAlignment="1" applyProtection="1" pivotButton="0" quotePrefix="0" xfId="0">
      <alignment vertical="top"/>
      <protection locked="0" hidden="0"/>
    </xf>
    <xf numFmtId="0" fontId="13" fillId="7" borderId="0" applyAlignment="1" applyProtection="1" pivotButton="0" quotePrefix="0" xfId="0">
      <alignment vertical="top" wrapText="1"/>
      <protection locked="0" hidden="0"/>
    </xf>
    <xf numFmtId="0" fontId="13" fillId="7" borderId="0" applyAlignment="1" applyProtection="1" pivotButton="0" quotePrefix="0" xfId="0">
      <alignment vertical="center"/>
      <protection locked="0" hidden="0"/>
    </xf>
    <xf numFmtId="0" fontId="0" fillId="7" borderId="0" applyAlignment="1" applyProtection="1" pivotButton="0" quotePrefix="0" xfId="0">
      <alignment horizontal="left" vertical="center" wrapText="1"/>
      <protection locked="0" hidden="0"/>
    </xf>
    <xf numFmtId="0" fontId="46" fillId="7" borderId="46" applyAlignment="1" applyProtection="1" pivotButton="0" quotePrefix="0" xfId="0">
      <alignment vertical="center"/>
      <protection locked="0" hidden="0"/>
    </xf>
    <xf numFmtId="0" fontId="0" fillId="7" borderId="0" applyAlignment="1" applyProtection="1" pivotButton="0" quotePrefix="0" xfId="0">
      <alignment horizontal="left" vertical="center"/>
      <protection locked="0" hidden="0"/>
    </xf>
    <xf numFmtId="164" fontId="12" fillId="7" borderId="0" applyAlignment="1" applyProtection="1" pivotButton="0" quotePrefix="0" xfId="0">
      <alignment vertical="top"/>
      <protection locked="0" hidden="0"/>
    </xf>
    <xf numFmtId="0" fontId="13" fillId="7" borderId="0" applyAlignment="1" applyProtection="1" pivotButton="0" quotePrefix="0" xfId="0">
      <alignment horizontal="left" vertical="center" wrapText="1"/>
      <protection locked="0" hidden="0"/>
    </xf>
    <xf numFmtId="0" fontId="18" fillId="7" borderId="0" applyAlignment="1" applyProtection="1" pivotButton="0" quotePrefix="0" xfId="0">
      <alignment vertical="top" wrapText="1"/>
      <protection locked="0" hidden="0"/>
    </xf>
    <xf numFmtId="0" fontId="18" fillId="7" borderId="0" applyAlignment="1" applyProtection="1" pivotButton="0" quotePrefix="0" xfId="0">
      <alignment vertical="top"/>
      <protection locked="0" hidden="0"/>
    </xf>
    <xf numFmtId="0" fontId="18" fillId="7" borderId="0" applyAlignment="1" applyProtection="1" pivotButton="0" quotePrefix="0" xfId="0">
      <alignment vertical="center"/>
      <protection locked="0" hidden="0"/>
    </xf>
    <xf numFmtId="9" fontId="12" fillId="7" borderId="0" applyAlignment="1" applyProtection="1" pivotButton="0" quotePrefix="0" xfId="0">
      <alignment vertical="top"/>
      <protection locked="0" hidden="0"/>
    </xf>
    <xf numFmtId="0" fontId="13" fillId="7" borderId="0" applyAlignment="1" applyProtection="1" pivotButton="0" quotePrefix="0" xfId="0">
      <alignment horizontal="left" vertical="center"/>
      <protection locked="0" hidden="0"/>
    </xf>
    <xf numFmtId="0" fontId="12" fillId="7" borderId="0" applyAlignment="1" applyProtection="1" pivotButton="0" quotePrefix="0" xfId="0">
      <alignment vertical="top" wrapText="1"/>
      <protection locked="0" hidden="0"/>
    </xf>
    <xf numFmtId="0" fontId="14" fillId="7" borderId="0" applyAlignment="1" applyProtection="1" pivotButton="0" quotePrefix="0" xfId="0">
      <alignment vertical="top"/>
      <protection locked="0" hidden="0"/>
    </xf>
    <xf numFmtId="0" fontId="5" fillId="0" borderId="28" applyAlignment="1" pivotButton="0" quotePrefix="0" xfId="10">
      <alignment horizontal="center" vertical="top" textRotation="90" wrapText="1"/>
    </xf>
    <xf numFmtId="0" fontId="5" fillId="0" borderId="30" applyAlignment="1" pivotButton="0" quotePrefix="0" xfId="10">
      <alignment horizontal="center" vertical="top" textRotation="90" wrapText="1"/>
    </xf>
    <xf numFmtId="0" fontId="5" fillId="0" borderId="27" applyAlignment="1" pivotButton="0" quotePrefix="0" xfId="10">
      <alignment horizontal="center" vertical="top" textRotation="90"/>
    </xf>
    <xf numFmtId="0" fontId="5" fillId="0" borderId="28" applyAlignment="1" pivotButton="0" quotePrefix="0" xfId="10">
      <alignment horizontal="center" vertical="top" textRotation="90"/>
    </xf>
    <xf numFmtId="0" fontId="5" fillId="0" borderId="30" applyAlignment="1" pivotButton="0" quotePrefix="0" xfId="10">
      <alignment horizontal="center" vertical="top" textRotation="90"/>
    </xf>
    <xf numFmtId="0" fontId="5" fillId="0" borderId="27" applyAlignment="1" pivotButton="0" quotePrefix="0" xfId="10">
      <alignment horizontal="center" vertical="top" textRotation="90" wrapText="1"/>
    </xf>
    <xf numFmtId="165" fontId="12" fillId="0" borderId="0" applyAlignment="1" applyProtection="1" pivotButton="0" quotePrefix="0" xfId="0">
      <alignment horizontal="right" vertical="top"/>
      <protection locked="0" hidden="0"/>
    </xf>
    <xf numFmtId="165" fontId="12"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2" fillId="7" borderId="0" applyAlignment="1" applyProtection="1" pivotButton="0" quotePrefix="0" xfId="0">
      <alignment horizontal="right" vertical="top"/>
      <protection locked="0" hidden="0"/>
    </xf>
    <xf numFmtId="165" fontId="12" fillId="7" borderId="0" applyAlignment="1" applyProtection="1" pivotButton="0" quotePrefix="0" xfId="0">
      <alignment vertical="top"/>
      <protection locked="0" hidden="0"/>
    </xf>
    <xf numFmtId="165" fontId="12" fillId="0" borderId="0" applyAlignment="1" applyProtection="1" pivotButton="0" quotePrefix="0" xfId="0">
      <alignment horizontal="right" vertical="top" wrapText="1"/>
      <protection locked="0" hidden="0"/>
    </xf>
    <xf numFmtId="165" fontId="12" fillId="0" borderId="0" applyAlignment="1" applyProtection="1" pivotButton="0" quotePrefix="0" xfId="0">
      <alignment vertical="top" wrapText="1"/>
      <protection locked="0" hidden="0"/>
    </xf>
    <xf numFmtId="165" fontId="12" fillId="5" borderId="0" applyAlignment="1" applyProtection="1" pivotButton="0" quotePrefix="0" xfId="0">
      <alignment horizontal="right" vertical="top"/>
      <protection locked="0" hidden="0"/>
    </xf>
    <xf numFmtId="165" fontId="12" fillId="5" borderId="0" applyAlignment="1" applyProtection="1" pivotButton="0" quotePrefix="0" xfId="0">
      <alignment vertical="top"/>
      <protection locked="0" hidden="0"/>
    </xf>
    <xf numFmtId="165" fontId="12" fillId="0" borderId="0" applyAlignment="1" pivotButton="0" quotePrefix="0" xfId="0">
      <alignment horizontal="right" vertical="top"/>
    </xf>
    <xf numFmtId="165" fontId="12" fillId="0" borderId="0" applyAlignment="1" pivotButton="0" quotePrefix="0" xfId="0">
      <alignment vertical="top"/>
    </xf>
    <xf numFmtId="164" fontId="12" fillId="0" borderId="0" applyAlignment="1" applyProtection="1" pivotButton="0" quotePrefix="0" xfId="0">
      <alignment vertical="top"/>
      <protection locked="0" hidden="0"/>
    </xf>
    <xf numFmtId="164" fontId="12" fillId="7" borderId="0" applyAlignment="1" applyProtection="1" pivotButton="0" quotePrefix="0" xfId="0">
      <alignment vertical="top"/>
      <protection locked="0" hidden="0"/>
    </xf>
    <xf numFmtId="0" fontId="5"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5" fillId="0" borderId="34" applyAlignment="1" pivotButton="0" quotePrefix="0" xfId="10">
      <alignment horizontal="center" vertical="top" textRotation="90"/>
    </xf>
    <xf numFmtId="164" fontId="5" fillId="2" borderId="16" applyAlignment="1" pivotButton="0" quotePrefix="0" xfId="10">
      <alignment horizontal="center" vertical="center"/>
    </xf>
    <xf numFmtId="164" fontId="5" fillId="2" borderId="7" applyAlignment="1" pivotButton="0" quotePrefix="0" xfId="10">
      <alignment horizontal="center" vertical="center"/>
    </xf>
    <xf numFmtId="164" fontId="5" fillId="2" borderId="4" applyAlignment="1" pivotButton="0" quotePrefix="0" xfId="10">
      <alignment horizontal="center" vertical="center"/>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tc={C16B8211-D4AF-48E5-B0A2-4323E26934E1}</author>
    <author>tc={C606F95B-D6EA-4C74-A918-FC0D57569FE1}</author>
    <author>tc={FDF7BD03-4E05-49CC-B8E6-490F8FF132B9}</author>
    <author>tc={5240F423-0D29-466B-9589-B3FBB6AB411B}</author>
    <author>tc={007EFC89-AACB-4841-980A-01961A51C8D6}</author>
  </authors>
  <commentList>
    <comment ref="D9" authorId="0" shapeId="0">
      <text>
        <t>[Threaded comment]
Your version of Excel allows you to read this threaded comment; however, any edits to it will get removed if the file is opened in a newer version of Excel. Learn more: https://go.microsoft.com/fwlink/?linkid=870924
Comment:
    Spring harvest is occurred and summer season harvesting is occuring</t>
      </text>
    </comment>
    <comment ref="D10" authorId="1" shapeId="0">
      <text>
        <t>[Threaded comment]
Your version of Excel allows you to read this threaded comment; however, any edits to it will get removed if the file is opened in a newer version of Excel. Learn more: https://go.microsoft.com/fwlink/?linkid=870924
Comment:
    The cell is locked, the measurement unit is Jeribs in Afghanistan</t>
      </text>
    </comment>
    <comment ref="D18" authorId="2" shapeId="0">
      <text>
        <t>[Threaded comment]
Your version of Excel allows you to read this threaded comment; however, any edits to it will get removed if the file is opened in a newer version of Excel. Learn more: https://go.microsoft.com/fwlink/?linkid=870924
Comment:
    The cell is locked, according to our last round results, 48 percent of the respondents were cultivating crops.</t>
      </text>
    </comment>
    <comment ref="D19" authorId="3" shapeId="0">
      <text>
        <t>[Threaded comment]
Your version of Excel allows you to read this threaded comment; however, any edits to it will get removed if the file is opened in a newer version of Excel. Learn more: https://go.microsoft.com/fwlink/?linkid=870924
Comment:
    The cell is locked. According to our last round results, 18 percent of respondents were raising livestock</t>
      </text>
    </comment>
    <comment ref="D20" authorId="4" shapeId="0">
      <text>
        <t>[Threaded comment]
Your version of Excel allows you to read this threaded comment; however, any edits to it will get removed if the file is opened in a newer version of Excel. Learn more: https://go.microsoft.com/fwlink/?linkid=870924
Comment:
    The cell is locked. There is no fishery in Afghanistan</t>
      </text>
    </comment>
  </commentList>
</comments>
</file>

<file path=xl/externalLinks/_rels/externalLink1.xml.rels><Relationships xmlns="http://schemas.openxmlformats.org/package/2006/relationships"><Relationship Type="http://schemas.openxmlformats.org/officeDocument/2006/relationships/externalLinkPath" Target="file:///C:\Users\Mansoor\Documents\1.Data%20in%20Emergencies\DIEM%20Monitoring%20Technical\3.Phase%20III\Round%207\Package%20for%20Data%20Hub%20Team\AFG_R6_household_questionnaire_kobo_20220420_ISO3_F2F.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choices"/>
      <sheetName val="settings"/>
      <sheetName val="Crop list"/>
      <sheetName val="Additional information"/>
    </sheetNames>
    <sheetDataSet>
      <sheetData sheetId="0" refreshError="1"/>
      <sheetData sheetId="1" refreshError="1"/>
      <sheetData sheetId="2" refreshError="1"/>
      <sheetData sheetId="3" refreshError="1"/>
      <sheetData sheetId="4" refreshError="1">
        <row r="18">
          <cell r="D18">
            <v>0.91</v>
          </cell>
        </row>
        <row r="19">
          <cell r="D19">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332"/>
  <sheetViews>
    <sheetView tabSelected="1" zoomScale="70" zoomScaleNormal="70" workbookViewId="0">
      <pane ySplit="1" topLeftCell="A2" activePane="bottomLeft" state="frozen"/>
      <selection pane="bottomLeft" activeCell="A56" sqref="A56:XFD56"/>
    </sheetView>
  </sheetViews>
  <sheetFormatPr baseColWidth="8" defaultColWidth="8.77734375" defaultRowHeight="14.4"/>
  <cols>
    <col width="24" customWidth="1" style="45" min="1" max="1"/>
    <col width="25.77734375" customWidth="1" style="45" min="2" max="2"/>
    <col width="73.77734375" customWidth="1" style="46" min="3" max="3"/>
    <col width="16.77734375" customWidth="1" style="46" min="4" max="5"/>
    <col width="28" customWidth="1" style="45" min="6" max="6"/>
    <col width="15.44140625" customWidth="1" style="45" min="7" max="8"/>
    <col width="8.77734375" customWidth="1" style="124" min="9" max="10"/>
    <col width="29.109375" customWidth="1" style="124" min="11" max="11"/>
    <col width="31.33203125" customWidth="1" style="124" min="12" max="12"/>
    <col width="21.88671875" customWidth="1" style="124" min="13" max="13"/>
    <col width="8.77734375" customWidth="1" style="124" min="14" max="16"/>
    <col width="8.77734375" customWidth="1" style="45" min="17" max="20"/>
    <col width="9.44140625" customWidth="1" style="45" min="21" max="21"/>
    <col width="8.77734375" customWidth="1" style="45" min="22" max="22"/>
    <col width="18.109375" customWidth="1" style="192" min="23" max="23"/>
    <col width="18.33203125" customWidth="1" style="170" min="24" max="24"/>
    <col width="14.109375" customWidth="1" style="76" min="25" max="25"/>
    <col hidden="1" width="19.6640625" customWidth="1" style="76" min="26" max="26"/>
    <col width="8.77734375" customWidth="1" style="76" min="27" max="27"/>
    <col width="8.77734375" customWidth="1" style="45" min="28" max="16384"/>
  </cols>
  <sheetData>
    <row r="1" ht="43.8" customFormat="1" customHeight="1" s="115" thickBot="1">
      <c r="A1" s="112" t="inlineStr">
        <is>
          <t>type</t>
        </is>
      </c>
      <c r="B1" s="112" t="inlineStr">
        <is>
          <t>name</t>
        </is>
      </c>
      <c r="C1" s="113" t="inlineStr">
        <is>
          <t>label::English (en)</t>
        </is>
      </c>
      <c r="D1" s="237" t="inlineStr">
        <is>
          <t>label::Dari (fa)</t>
        </is>
      </c>
      <c r="E1" s="237" t="inlineStr">
        <is>
          <t>label::Pashto (pa)</t>
        </is>
      </c>
      <c r="F1" s="112" t="inlineStr">
        <is>
          <t>hint::English (en)</t>
        </is>
      </c>
      <c r="G1" s="114" t="inlineStr">
        <is>
          <t>hint::Dari (fa)</t>
        </is>
      </c>
      <c r="H1" s="114" t="inlineStr">
        <is>
          <t>hint::Pashto (pa)</t>
        </is>
      </c>
      <c r="I1" s="112" t="inlineStr">
        <is>
          <t>required</t>
        </is>
      </c>
      <c r="J1" s="112" t="inlineStr">
        <is>
          <t>appearance</t>
        </is>
      </c>
      <c r="K1" s="112" t="inlineStr">
        <is>
          <t>constraint</t>
        </is>
      </c>
      <c r="L1" s="112" t="inlineStr">
        <is>
          <t>constraint_message</t>
        </is>
      </c>
      <c r="M1" s="112" t="inlineStr">
        <is>
          <t>relevant</t>
        </is>
      </c>
      <c r="N1" s="112" t="inlineStr">
        <is>
          <t>choice_filter</t>
        </is>
      </c>
      <c r="O1" s="112" t="inlineStr">
        <is>
          <t>parameters</t>
        </is>
      </c>
      <c r="P1" s="112" t="inlineStr">
        <is>
          <t>calculation</t>
        </is>
      </c>
      <c r="U1" s="198" t="inlineStr">
        <is>
          <t xml:space="preserve">Mandatory </t>
        </is>
      </c>
      <c r="W1" s="199" t="inlineStr">
        <is>
          <t>New question duration (sec)</t>
        </is>
      </c>
      <c r="X1" s="200" t="inlineStr">
        <is>
          <t>Estimated percentage of repondents</t>
        </is>
      </c>
      <c r="Y1" s="201" t="inlineStr">
        <is>
          <t>Weighted time</t>
        </is>
      </c>
      <c r="Z1" s="36" t="inlineStr">
        <is>
          <t>Weighted time for core vars</t>
        </is>
      </c>
      <c r="AA1" s="116" t="n"/>
    </row>
    <row r="2">
      <c r="A2" s="75" t="inlineStr">
        <is>
          <t>start</t>
        </is>
      </c>
      <c r="B2" s="75" t="inlineStr">
        <is>
          <t>start</t>
        </is>
      </c>
      <c r="C2" s="44" t="n"/>
      <c r="D2" s="88" t="n"/>
      <c r="E2" s="88" t="n"/>
      <c r="F2" s="75" t="n"/>
      <c r="G2" s="89" t="n"/>
      <c r="H2" s="89" t="n"/>
      <c r="I2" s="117" t="n"/>
      <c r="J2" s="117" t="n"/>
      <c r="K2" s="117" t="n"/>
      <c r="L2" s="117" t="n"/>
      <c r="M2" s="117" t="n"/>
      <c r="N2" s="117" t="n"/>
      <c r="O2" s="117" t="n"/>
      <c r="P2" s="117" t="n"/>
      <c r="W2" s="275" t="n"/>
      <c r="X2" s="170" t="n"/>
      <c r="Y2" s="276">
        <f>IF(W2&lt;&gt;"",W2*X2,"")</f>
        <v/>
      </c>
      <c r="Z2" s="276">
        <f>IF(AND(W2&lt;&gt;"",U2="yes"),W2*X2,"")</f>
        <v/>
      </c>
    </row>
    <row r="3">
      <c r="A3" s="75" t="inlineStr">
        <is>
          <t>end</t>
        </is>
      </c>
      <c r="B3" s="75" t="inlineStr">
        <is>
          <t>end</t>
        </is>
      </c>
      <c r="C3" s="44" t="n"/>
      <c r="D3" s="88" t="n"/>
      <c r="E3" s="88" t="n"/>
      <c r="F3" s="75" t="n"/>
      <c r="G3" s="89" t="n"/>
      <c r="H3" s="89" t="n"/>
      <c r="I3" s="117" t="n"/>
      <c r="J3" s="117" t="n"/>
      <c r="K3" s="117" t="n"/>
      <c r="L3" s="117" t="n"/>
      <c r="M3" s="117" t="n"/>
      <c r="N3" s="117" t="n"/>
      <c r="O3" s="117" t="n"/>
      <c r="P3" s="117" t="n"/>
      <c r="W3" s="275" t="n"/>
      <c r="X3" s="170" t="n"/>
      <c r="Y3" s="276">
        <f>IF(W3&lt;&gt;"",W3*X3,"")</f>
        <v/>
      </c>
      <c r="Z3" s="276">
        <f>IF(AND(W3&lt;&gt;"",U3="yes"),W3*X3,"")</f>
        <v/>
      </c>
    </row>
    <row r="4">
      <c r="A4" s="75" t="inlineStr">
        <is>
          <t>today</t>
        </is>
      </c>
      <c r="B4" s="75" t="inlineStr">
        <is>
          <t>today</t>
        </is>
      </c>
      <c r="C4" s="44" t="n"/>
      <c r="D4" s="88" t="n"/>
      <c r="E4" s="88" t="n"/>
      <c r="F4" s="75" t="n"/>
      <c r="G4" s="89" t="n"/>
      <c r="H4" s="89" t="n"/>
      <c r="I4" s="117" t="n"/>
      <c r="J4" s="117" t="n"/>
      <c r="K4" s="117" t="n"/>
      <c r="L4" s="117" t="n"/>
      <c r="M4" s="117" t="n"/>
      <c r="N4" s="117" t="n"/>
      <c r="O4" s="117" t="n"/>
      <c r="P4" s="117" t="n"/>
      <c r="W4" s="275" t="n"/>
      <c r="X4" s="170" t="n"/>
      <c r="Y4" s="276">
        <f>IF(W4&lt;&gt;"",W4*X4,"")</f>
        <v/>
      </c>
      <c r="Z4" s="276">
        <f>IF(AND(W4&lt;&gt;"",U4="yes"),W4*X4,"")</f>
        <v/>
      </c>
    </row>
    <row r="5">
      <c r="A5" s="75" t="inlineStr">
        <is>
          <t>deviceid</t>
        </is>
      </c>
      <c r="B5" s="75" t="inlineStr">
        <is>
          <t>deviceid</t>
        </is>
      </c>
      <c r="C5" s="44" t="n"/>
      <c r="D5" s="88" t="n"/>
      <c r="E5" s="88" t="n"/>
      <c r="F5" s="75" t="n"/>
      <c r="G5" s="89" t="n"/>
      <c r="H5" s="89" t="n"/>
      <c r="I5" s="117" t="n"/>
      <c r="J5" s="117" t="n"/>
      <c r="K5" s="117" t="n"/>
      <c r="L5" s="117" t="n"/>
      <c r="M5" s="117" t="n"/>
      <c r="N5" s="117" t="n"/>
      <c r="O5" s="117" t="n"/>
      <c r="P5" s="117" t="n"/>
      <c r="W5" s="275" t="n"/>
      <c r="X5" s="170" t="n"/>
      <c r="Y5" s="276">
        <f>IF(W5&lt;&gt;"",W5*X5,"")</f>
        <v/>
      </c>
      <c r="Z5" s="276">
        <f>IF(AND(W5&lt;&gt;"",U5="yes"),W5*X5,"")</f>
        <v/>
      </c>
    </row>
    <row r="6">
      <c r="A6" s="75" t="inlineStr">
        <is>
          <t>audit</t>
        </is>
      </c>
      <c r="B6" s="75" t="inlineStr">
        <is>
          <t>audit</t>
        </is>
      </c>
      <c r="C6" s="44" t="n"/>
      <c r="D6" s="88" t="n"/>
      <c r="E6" s="88" t="n"/>
      <c r="F6" s="75" t="n"/>
      <c r="G6" s="89" t="n"/>
      <c r="H6" s="89" t="n"/>
      <c r="I6" s="117" t="n"/>
      <c r="J6" s="117" t="n"/>
      <c r="K6" s="117" t="n"/>
      <c r="L6" s="117" t="n"/>
      <c r="M6" s="117" t="n"/>
      <c r="N6" s="117" t="n"/>
      <c r="O6" s="117" t="n"/>
      <c r="P6" s="117" t="n"/>
      <c r="W6" s="275" t="n"/>
      <c r="X6" s="170" t="n"/>
      <c r="Y6" s="276" t="n"/>
      <c r="Z6" s="276" t="n"/>
    </row>
    <row r="7">
      <c r="A7" s="75" t="inlineStr">
        <is>
          <t>calculate</t>
        </is>
      </c>
      <c r="B7" s="75" t="inlineStr">
        <is>
          <t>audio_random</t>
        </is>
      </c>
      <c r="C7" s="44" t="n"/>
      <c r="D7" s="88" t="n"/>
      <c r="E7" s="88" t="n"/>
      <c r="F7" s="75" t="n"/>
      <c r="G7" s="89" t="n"/>
      <c r="H7" s="89" t="n"/>
      <c r="I7" s="117" t="n"/>
      <c r="J7" s="117" t="n"/>
      <c r="K7" s="117" t="n"/>
      <c r="L7" s="117" t="n"/>
      <c r="M7" s="45" t="n"/>
      <c r="N7" s="117" t="n"/>
      <c r="O7" s="117" t="n"/>
      <c r="P7" s="117" t="inlineStr">
        <is>
          <t>once(random())</t>
        </is>
      </c>
      <c r="W7" s="275" t="n"/>
      <c r="X7" s="170" t="n"/>
      <c r="Y7" s="276" t="n"/>
      <c r="Z7" s="276" t="n"/>
    </row>
    <row r="8">
      <c r="A8" s="75" t="inlineStr">
        <is>
          <t>background-audio</t>
        </is>
      </c>
      <c r="B8" s="75" t="inlineStr">
        <is>
          <t>background-audio</t>
        </is>
      </c>
      <c r="C8" s="44" t="n"/>
      <c r="D8" s="88" t="n"/>
      <c r="E8" s="88" t="n"/>
      <c r="F8" s="75" t="n"/>
      <c r="G8" s="89" t="n"/>
      <c r="H8" s="89" t="n"/>
      <c r="I8" s="117" t="n"/>
      <c r="J8" s="117" t="n"/>
      <c r="K8" s="117" t="n"/>
      <c r="L8" s="117" t="n"/>
      <c r="M8" s="117" t="inlineStr">
        <is>
          <t>${audio_random}&lt;=0.02</t>
        </is>
      </c>
      <c r="N8" s="117" t="n"/>
      <c r="O8" s="117" t="inlineStr">
        <is>
          <t>quality=low</t>
        </is>
      </c>
      <c r="P8" s="117" t="n"/>
      <c r="W8" s="275" t="n"/>
      <c r="X8" s="170" t="n"/>
      <c r="Y8" s="276" t="n"/>
      <c r="Z8" s="276" t="n"/>
    </row>
    <row r="9" customFormat="1" s="77">
      <c r="A9" s="77" t="inlineStr">
        <is>
          <t>select_one enumteam</t>
        </is>
      </c>
      <c r="B9" s="77" t="inlineStr">
        <is>
          <t>enum_team</t>
        </is>
      </c>
      <c r="C9" s="78" t="inlineStr">
        <is>
          <t>Enumerator team number or code</t>
        </is>
      </c>
      <c r="D9" s="79" t="n"/>
      <c r="E9" s="79" t="n"/>
      <c r="G9" s="83" t="n"/>
      <c r="H9" s="83" t="n"/>
      <c r="I9" s="118" t="n"/>
      <c r="J9" s="118" t="n"/>
      <c r="L9" s="118" t="n"/>
      <c r="M9" s="118" t="n"/>
      <c r="N9" s="118" t="n"/>
      <c r="O9" s="118" t="n"/>
      <c r="P9" s="118" t="n"/>
      <c r="W9" s="277" t="n"/>
      <c r="X9" s="210" t="n"/>
      <c r="Y9" s="278" t="n"/>
      <c r="Z9" s="278" t="n"/>
    </row>
    <row r="10">
      <c r="A10" s="75" t="inlineStr">
        <is>
          <t>select_one enumerator</t>
        </is>
      </c>
      <c r="B10" s="75" t="inlineStr">
        <is>
          <t>enumerator</t>
        </is>
      </c>
      <c r="C10" s="44" t="inlineStr">
        <is>
          <t>Name of enumerator</t>
        </is>
      </c>
      <c r="D10" s="88" t="n"/>
      <c r="E10" s="88" t="n"/>
      <c r="F10" s="75" t="n"/>
      <c r="G10" s="89" t="n"/>
      <c r="H10" s="89" t="n"/>
      <c r="I10" s="117" t="inlineStr">
        <is>
          <t>true</t>
        </is>
      </c>
      <c r="J10" s="117" t="n"/>
      <c r="K10" s="117" t="n"/>
      <c r="L10" s="117" t="n"/>
      <c r="M10" s="117" t="n"/>
      <c r="N10" s="118" t="inlineStr">
        <is>
          <t>my_filter_admin=${enum_team}</t>
        </is>
      </c>
      <c r="O10" s="117" t="n"/>
      <c r="P10" s="117" t="n"/>
      <c r="U10" s="45" t="inlineStr">
        <is>
          <t>yes</t>
        </is>
      </c>
      <c r="W10" s="275" t="n"/>
      <c r="X10" s="170" t="n"/>
      <c r="Y10" s="276">
        <f>IF(W10&lt;&gt;"",W10*X10,"")</f>
        <v/>
      </c>
      <c r="Z10" s="276">
        <f>IF(AND(W10&lt;&gt;"",U10="yes"),W10*X10,"")</f>
        <v/>
      </c>
    </row>
    <row r="11">
      <c r="A11" s="75" t="inlineStr">
        <is>
          <t>calculate</t>
        </is>
      </c>
      <c r="B11" s="75" t="inlineStr">
        <is>
          <t>enumerator_</t>
        </is>
      </c>
      <c r="C11" s="44" t="n"/>
      <c r="D11" s="88" t="n"/>
      <c r="E11" s="88" t="n"/>
      <c r="F11" s="75" t="n"/>
      <c r="G11" s="89" t="n"/>
      <c r="H11" s="89" t="n"/>
      <c r="I11" s="117" t="n"/>
      <c r="J11" s="117" t="n"/>
      <c r="K11" s="117" t="n"/>
      <c r="L11" s="117" t="n"/>
      <c r="M11" s="117" t="n"/>
      <c r="N11" s="117" t="n"/>
      <c r="O11" s="117" t="n"/>
      <c r="P11" s="117" t="inlineStr">
        <is>
          <t>jr:choice-name(${enumerator},'${enumerator}')</t>
        </is>
      </c>
      <c r="U11" s="45" t="inlineStr">
        <is>
          <t>yes</t>
        </is>
      </c>
      <c r="W11" s="275" t="n"/>
      <c r="X11" s="170" t="n"/>
      <c r="Y11" s="276">
        <f>IF(W11&lt;&gt;"",W11*X11,"")</f>
        <v/>
      </c>
      <c r="Z11" s="276">
        <f>IF(AND(W11&lt;&gt;"",U11="yes"),W11*X11,"")</f>
        <v/>
      </c>
    </row>
    <row r="12" ht="15" customFormat="1" customHeight="1" s="77" thickBot="1">
      <c r="A12" s="84" t="n"/>
      <c r="B12" s="84" t="n"/>
      <c r="C12" s="85" t="n"/>
      <c r="D12" s="86" t="n"/>
      <c r="E12" s="86" t="n"/>
      <c r="F12" s="84" t="n"/>
      <c r="G12" s="87" t="n"/>
      <c r="H12" s="87" t="n"/>
      <c r="I12" s="120" t="n"/>
      <c r="J12" s="120" t="n"/>
      <c r="K12" s="120" t="n"/>
      <c r="L12" s="120" t="n"/>
      <c r="M12" s="120" t="n"/>
      <c r="N12" s="120" t="n"/>
      <c r="O12" s="120" t="n"/>
      <c r="P12" s="120" t="n"/>
      <c r="W12" s="275" t="n"/>
      <c r="X12" s="170" t="n"/>
      <c r="Y12" s="276" t="n"/>
      <c r="Z12" s="276" t="n"/>
      <c r="AA12" s="76" t="n"/>
    </row>
    <row r="13" ht="202.2" customHeight="1" thickTop="1">
      <c r="A13" s="75" t="inlineStr">
        <is>
          <t>note</t>
        </is>
      </c>
      <c r="B13" s="75" t="inlineStr">
        <is>
          <t>introduction</t>
        </is>
      </c>
      <c r="C13" s="17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88" t="n"/>
      <c r="F13" s="75" t="inlineStr">
        <is>
          <t>[INSTRUCTIONS: ADDRESS QUESTIONS FROM RESPONDENT, IF ANY.]</t>
        </is>
      </c>
      <c r="G13" s="89" t="n"/>
      <c r="H13" s="89" t="n"/>
      <c r="I13" s="117" t="inlineStr">
        <is>
          <t>false</t>
        </is>
      </c>
      <c r="J13" s="117" t="n"/>
      <c r="K13" s="117" t="n"/>
      <c r="L13" s="117" t="n"/>
      <c r="M13" s="117" t="n"/>
      <c r="N13" s="117" t="n"/>
      <c r="O13" s="117" t="n"/>
      <c r="P13" s="117" t="n"/>
      <c r="U13" s="45" t="inlineStr">
        <is>
          <t>no</t>
        </is>
      </c>
      <c r="W13" s="275" t="n">
        <v>50.82254028320312</v>
      </c>
      <c r="X13" s="170" t="n"/>
      <c r="Y13" s="276">
        <f>IF(W13&lt;&gt;"",W13*X13,"")</f>
        <v/>
      </c>
      <c r="Z13" s="276">
        <f>IF(AND(W13&lt;&gt;"",U13="yes"),W13*X13,"")</f>
        <v/>
      </c>
    </row>
    <row r="14">
      <c r="A14" s="75" t="inlineStr">
        <is>
          <t>select_one yesno</t>
        </is>
      </c>
      <c r="B14" s="75" t="inlineStr">
        <is>
          <t>resp_agree</t>
        </is>
      </c>
      <c r="C14" s="44" t="inlineStr">
        <is>
          <t>Are you interested in participating in this survey?</t>
        </is>
      </c>
      <c r="D14" s="88" t="n"/>
      <c r="E14" s="88" t="n"/>
      <c r="F14" s="75" t="n"/>
      <c r="G14" s="89" t="n"/>
      <c r="H14" s="89" t="n"/>
      <c r="I14" s="117" t="inlineStr">
        <is>
          <t>false</t>
        </is>
      </c>
      <c r="J14" s="117" t="n"/>
      <c r="K14" s="117" t="n"/>
      <c r="L14" s="117" t="n"/>
      <c r="M14" s="117" t="n"/>
      <c r="N14" s="117" t="n"/>
      <c r="O14" s="117" t="n"/>
      <c r="P14" s="117" t="n"/>
      <c r="U14" s="45" t="inlineStr">
        <is>
          <t>yes</t>
        </is>
      </c>
      <c r="W14" s="275" t="n">
        <v>3.5</v>
      </c>
      <c r="X14" s="170">
        <f>1</f>
        <v/>
      </c>
      <c r="Y14" s="276">
        <f>IF(W14&lt;&gt;"",W14*X14,"")</f>
        <v/>
      </c>
      <c r="Z14" s="276">
        <f>IF(AND(W14&lt;&gt;"",U14="yes"),W14*X14,"")</f>
        <v/>
      </c>
    </row>
    <row r="15" customFormat="1" s="77">
      <c r="A15" s="80" t="inlineStr">
        <is>
          <t>geopoint</t>
        </is>
      </c>
      <c r="B15" s="80" t="inlineStr">
        <is>
          <t>gps_1</t>
        </is>
      </c>
      <c r="C15" s="81" t="inlineStr">
        <is>
          <t xml:space="preserve">GPS INSTRUCTION: Take a GPS measurement. </t>
        </is>
      </c>
      <c r="D15" s="79" t="n"/>
      <c r="E15" s="79" t="n"/>
      <c r="F15" s="80" t="inlineStr">
        <is>
          <t>NOTE: It might take a few minutes for the tablet to register the GPS. Wait for it to load. If it takes longer than 3 minutes, skip to the next question. You can take the GPS reading at the end of the interview.</t>
        </is>
      </c>
      <c r="G15" s="83" t="n"/>
      <c r="H15" s="83" t="n"/>
      <c r="I15" s="117" t="inlineStr">
        <is>
          <t>false</t>
        </is>
      </c>
      <c r="J15" s="118" t="n"/>
      <c r="K15" s="118" t="n"/>
      <c r="L15" s="118" t="n"/>
      <c r="M15" s="117" t="inlineStr">
        <is>
          <t>${resp_agree} = '1'</t>
        </is>
      </c>
      <c r="N15" s="118" t="n"/>
      <c r="O15" s="118" t="n"/>
      <c r="P15" s="118" t="n"/>
      <c r="W15" s="275" t="n">
        <v>0</v>
      </c>
      <c r="X15" s="170" t="n">
        <v>1</v>
      </c>
      <c r="Y15" s="276">
        <f>IF(W15&lt;&gt;"",W15*X15,"")</f>
        <v/>
      </c>
      <c r="Z15" s="276" t="n"/>
      <c r="AA15" s="76" t="n"/>
    </row>
    <row r="16" customFormat="1" s="76">
      <c r="A16" s="80" t="inlineStr">
        <is>
          <t>note</t>
        </is>
      </c>
      <c r="B16" s="80" t="inlineStr">
        <is>
          <t>Refusal</t>
        </is>
      </c>
      <c r="C16" s="81" t="inlineStr">
        <is>
          <t>Thank you for your time, you will be removed from today's survey.</t>
        </is>
      </c>
      <c r="D16" s="99" t="n"/>
      <c r="E16" s="99" t="n"/>
      <c r="F16" s="80" t="n"/>
      <c r="G16" s="101" t="n"/>
      <c r="H16" s="101" t="n"/>
      <c r="I16" s="119" t="inlineStr">
        <is>
          <t>false</t>
        </is>
      </c>
      <c r="J16" s="119" t="n"/>
      <c r="K16" s="119" t="n"/>
      <c r="L16" s="119" t="n"/>
      <c r="M16" s="119" t="inlineStr">
        <is>
          <t>${resp_agree} = '2'</t>
        </is>
      </c>
      <c r="N16" s="119" t="n"/>
      <c r="O16" s="119" t="n"/>
      <c r="P16" s="119" t="n"/>
      <c r="U16" s="76" t="inlineStr">
        <is>
          <t>no</t>
        </is>
      </c>
      <c r="W16" s="275" t="n">
        <v>0</v>
      </c>
      <c r="X16" s="170" t="n">
        <v>1</v>
      </c>
      <c r="Y16" s="276">
        <f>IF(W16&lt;&gt;"",W16*X16,"")</f>
        <v/>
      </c>
      <c r="Z16" s="276">
        <f>IF(AND(W16&lt;&gt;"",U16="yes"),W16*X16,"")</f>
        <v/>
      </c>
    </row>
    <row r="17" ht="15" customFormat="1" customHeight="1" s="76" thickBot="1">
      <c r="A17" s="90" t="n"/>
      <c r="B17" s="90" t="n"/>
      <c r="C17" s="91" t="n"/>
      <c r="D17" s="92" t="n"/>
      <c r="E17" s="92" t="n"/>
      <c r="F17" s="90" t="n"/>
      <c r="G17" s="93" t="n"/>
      <c r="H17" s="93" t="n"/>
      <c r="I17" s="121" t="n"/>
      <c r="J17" s="121" t="n"/>
      <c r="K17" s="121" t="n"/>
      <c r="L17" s="121" t="n"/>
      <c r="M17" s="121" t="n"/>
      <c r="N17" s="121" t="n"/>
      <c r="O17" s="121" t="n"/>
      <c r="P17" s="121" t="n"/>
      <c r="U17" s="76" t="inlineStr"/>
      <c r="W17" s="275" t="inlineStr"/>
      <c r="X17" s="170" t="n"/>
      <c r="Y17" s="276">
        <f>IF(W17&lt;&gt;"",W17*X17,"")</f>
        <v/>
      </c>
      <c r="Z17" s="276">
        <f>IF(AND(W17&lt;&gt;"",U17="yes"),W17*X17,"")</f>
        <v/>
      </c>
    </row>
    <row r="18" ht="15" customFormat="1" customHeight="1" s="73" thickTop="1">
      <c r="A18" s="70" t="inlineStr">
        <is>
          <t>begin_group</t>
        </is>
      </c>
      <c r="B18" s="70" t="inlineStr">
        <is>
          <t>eligibility</t>
        </is>
      </c>
      <c r="C18" s="94" t="inlineStr">
        <is>
          <t>ELIGIBILITY CRITERIA</t>
        </is>
      </c>
      <c r="D18" s="71" t="n"/>
      <c r="E18" s="71" t="n"/>
      <c r="F18" s="70" t="n"/>
      <c r="G18" s="72" t="n"/>
      <c r="H18" s="72" t="n"/>
      <c r="I18" s="122" t="inlineStr">
        <is>
          <t>false</t>
        </is>
      </c>
      <c r="J18" s="122" t="n"/>
      <c r="K18" s="122" t="n"/>
      <c r="L18" s="122" t="n"/>
      <c r="M18" s="122" t="inlineStr">
        <is>
          <t>${resp_agree} = '1'</t>
        </is>
      </c>
      <c r="N18" s="122" t="n"/>
      <c r="O18" s="122" t="n"/>
      <c r="P18" s="122" t="n"/>
      <c r="U18" s="45" t="inlineStr">
        <is>
          <t>yes</t>
        </is>
      </c>
      <c r="W18" s="275" t="n"/>
      <c r="X18" s="170" t="n"/>
      <c r="Y18" s="276">
        <f>IF(W18&lt;&gt;"",W18*X18,"")</f>
        <v/>
      </c>
      <c r="Z18" s="276">
        <f>IF(AND(W18&lt;&gt;"",U18="yes"),W18*X18,"")</f>
        <v/>
      </c>
      <c r="AA18" s="74" t="n"/>
    </row>
    <row r="19" customFormat="1" s="77">
      <c r="C19" s="78" t="n"/>
      <c r="D19" s="79" t="n"/>
      <c r="E19" s="79" t="n"/>
      <c r="G19" s="83" t="n"/>
      <c r="H19" s="83" t="n"/>
      <c r="I19" s="118" t="n"/>
      <c r="J19" s="118" t="n"/>
      <c r="K19" s="118" t="n"/>
      <c r="L19" s="118" t="n"/>
      <c r="M19" s="118" t="n"/>
      <c r="N19" s="118" t="n"/>
      <c r="O19" s="118" t="n"/>
      <c r="P19" s="118" t="n"/>
      <c r="U19" s="77" t="inlineStr"/>
      <c r="W19" s="275" t="inlineStr"/>
      <c r="X19" s="76" t="n"/>
      <c r="Y19" s="276">
        <f>IF(W19&lt;&gt;"",W19*X19,"")</f>
        <v/>
      </c>
      <c r="Z19" s="276">
        <f>IF(AND(W19&lt;&gt;"",U19="yes"),W19*X19,"")</f>
        <v/>
      </c>
      <c r="AA19" s="76" t="n"/>
    </row>
    <row r="20" customFormat="1" s="77">
      <c r="A20" s="80" t="inlineStr">
        <is>
          <t>text</t>
        </is>
      </c>
      <c r="B20" s="80" t="inlineStr">
        <is>
          <t>resp_firstname</t>
        </is>
      </c>
      <c r="C20" s="81" t="inlineStr">
        <is>
          <t>What is your first name?</t>
        </is>
      </c>
      <c r="D20" s="79" t="n"/>
      <c r="E20" s="79" t="n"/>
      <c r="F20" s="76" t="inlineStr">
        <is>
          <t>[INSTRUCTIONS: RECORD THE RESPONDENT'S FIRST NAME. ENTER 999 FOR REFUSED]</t>
        </is>
      </c>
      <c r="G20" s="83" t="n"/>
      <c r="H20" s="83" t="n"/>
      <c r="I20" s="119" t="inlineStr">
        <is>
          <t>true</t>
        </is>
      </c>
      <c r="J20" s="119" t="n"/>
      <c r="K20" s="119" t="n"/>
      <c r="L20" s="119" t="n"/>
      <c r="M20" s="119" t="n"/>
      <c r="N20" s="119" t="n"/>
      <c r="O20" s="119" t="n"/>
      <c r="P20" s="119" t="n"/>
      <c r="U20" s="76" t="inlineStr">
        <is>
          <t>yes</t>
        </is>
      </c>
      <c r="W20" s="275" t="n">
        <v>10</v>
      </c>
      <c r="X20" s="170">
        <f>1</f>
        <v/>
      </c>
      <c r="Y20" s="276">
        <f>IF(W20&lt;&gt;"",W20*X20,"")</f>
        <v/>
      </c>
      <c r="Z20" s="276">
        <f>IF(AND(W20&lt;&gt;"",U20="yes"),W20*X20,"")</f>
        <v/>
      </c>
      <c r="AA20" s="76" t="n"/>
    </row>
    <row r="21" customFormat="1" s="77">
      <c r="A21" s="80" t="inlineStr">
        <is>
          <t>text</t>
        </is>
      </c>
      <c r="B21" s="80" t="inlineStr">
        <is>
          <t>resp_lastname</t>
        </is>
      </c>
      <c r="C21" s="81" t="inlineStr">
        <is>
          <t>What is your last name?</t>
        </is>
      </c>
      <c r="D21" s="79" t="n"/>
      <c r="E21" s="79" t="n"/>
      <c r="F21" s="76" t="inlineStr">
        <is>
          <t>[INSTRUCTIONS: RECORD THE RESPONDENT'S LAST NAME. ENTER 999 FOR REFUSED]</t>
        </is>
      </c>
      <c r="G21" s="83" t="n"/>
      <c r="H21" s="83" t="n"/>
      <c r="I21" s="119" t="inlineStr">
        <is>
          <t>true</t>
        </is>
      </c>
      <c r="J21" s="119" t="n"/>
      <c r="K21" s="119" t="n"/>
      <c r="L21" s="119" t="n"/>
      <c r="M21" s="119" t="n"/>
      <c r="N21" s="119" t="n"/>
      <c r="O21" s="119" t="n"/>
      <c r="P21" s="119" t="n"/>
      <c r="U21" s="76" t="inlineStr">
        <is>
          <t>yes</t>
        </is>
      </c>
      <c r="W21" s="275" t="n">
        <v>10</v>
      </c>
      <c r="X21" s="170">
        <f>1</f>
        <v/>
      </c>
      <c r="Y21" s="276">
        <f>IF(W21&lt;&gt;"",W21*X21,"")</f>
        <v/>
      </c>
      <c r="Z21" s="276">
        <f>IF(AND(W21&lt;&gt;"",U21="yes"),W21*X21,"")</f>
        <v/>
      </c>
      <c r="AA21" s="76" t="n"/>
    </row>
    <row r="22" customFormat="1" s="77">
      <c r="C22" s="78" t="n"/>
      <c r="D22" s="79" t="n"/>
      <c r="E22" s="79" t="n"/>
      <c r="G22" s="83" t="n"/>
      <c r="H22" s="83" t="n"/>
      <c r="I22" s="118" t="n"/>
      <c r="J22" s="118" t="n"/>
      <c r="K22" s="118" t="n"/>
      <c r="L22" s="118" t="n"/>
      <c r="M22" s="118" t="n"/>
      <c r="N22" s="118" t="n"/>
      <c r="O22" s="118" t="n"/>
      <c r="P22" s="118" t="n"/>
      <c r="U22" s="77" t="inlineStr"/>
      <c r="W22" s="275" t="inlineStr"/>
      <c r="X22" s="170">
        <f>1</f>
        <v/>
      </c>
      <c r="Y22" s="276">
        <f>IF(W22&lt;&gt;"",W22*X22,"")</f>
        <v/>
      </c>
      <c r="Z22" s="276">
        <f>IF(AND(W22&lt;&gt;"",U22="yes"),W22*X22,"")</f>
        <v/>
      </c>
      <c r="AA22" s="76" t="n"/>
    </row>
    <row r="23">
      <c r="A23" s="75" t="inlineStr">
        <is>
          <t>integer</t>
        </is>
      </c>
      <c r="B23" s="75" t="inlineStr">
        <is>
          <t>resp_age</t>
        </is>
      </c>
      <c r="C23" s="44" t="inlineStr">
        <is>
          <t>How old are you?</t>
        </is>
      </c>
      <c r="D23" s="99" t="n"/>
      <c r="E23" s="99" t="n"/>
      <c r="F23" s="80" t="inlineStr">
        <is>
          <t>[INSTRUCTIONS: RECORD AGE IN NUMBER OF YEARS. ROUND UP TO NEAREST WHOLE NUMBER. IF THE RESPONDENT GIVES BIRTH YEAR, REPEAT THE QUESTION. ENTER 888 FOR DON'T KNOW.]</t>
        </is>
      </c>
      <c r="G23" s="89" t="n"/>
      <c r="H23" s="89" t="n"/>
      <c r="I23" s="117" t="inlineStr">
        <is>
          <t>true</t>
        </is>
      </c>
      <c r="J23" s="117" t="n"/>
      <c r="K23" s="117" t="inlineStr">
        <is>
          <t>(. &gt;= 18 and . &lt;= 100) or . = 888</t>
        </is>
      </c>
      <c r="L23" s="117" t="n"/>
      <c r="M23" s="117" t="n"/>
      <c r="N23" s="117" t="n"/>
      <c r="O23" s="117" t="n"/>
      <c r="P23" s="117" t="n"/>
      <c r="U23" s="45" t="inlineStr">
        <is>
          <t>yes</t>
        </is>
      </c>
      <c r="W23" s="275" t="n">
        <v>13.75307273864746</v>
      </c>
      <c r="X23" s="170">
        <f>1</f>
        <v/>
      </c>
      <c r="Y23" s="276">
        <f>IF(W23&lt;&gt;"",W23*X23,"")</f>
        <v/>
      </c>
      <c r="Z23" s="276">
        <f>IF(AND(W23&lt;&gt;"",U23="yes"),W23*X23,"")</f>
        <v/>
      </c>
    </row>
    <row r="24">
      <c r="D24" s="88" t="n"/>
      <c r="E24" s="88" t="n"/>
      <c r="G24" s="89" t="n"/>
      <c r="H24" s="89" t="n"/>
      <c r="U24" s="45" t="inlineStr"/>
      <c r="W24" s="275" t="inlineStr"/>
      <c r="X24" s="170">
        <f>1</f>
        <v/>
      </c>
      <c r="Y24" s="276">
        <f>IF(W24&lt;&gt;"",W24*X24,"")</f>
        <v/>
      </c>
      <c r="Z24" s="276">
        <f>IF(AND(W24&lt;&gt;"",U24="yes"),W24*X24,"")</f>
        <v/>
      </c>
    </row>
    <row r="25" customFormat="1" s="77">
      <c r="A25" s="77" t="inlineStr">
        <is>
          <t>select_one gender</t>
        </is>
      </c>
      <c r="B25" s="77" t="inlineStr">
        <is>
          <t>resp_gender</t>
        </is>
      </c>
      <c r="C25" s="78" t="inlineStr">
        <is>
          <t>What is the gender of the respondent?</t>
        </is>
      </c>
      <c r="D25" s="79" t="n"/>
      <c r="E25" s="79" t="n"/>
      <c r="F25" s="77" t="inlineStr">
        <is>
          <t>[INSTRUCTIONS: DO NOT ASK THIS QUESTION OUT LOUD. SELECT THE GENDER OF THE RESPONDENT.]</t>
        </is>
      </c>
      <c r="G25" s="83" t="n"/>
      <c r="H25" s="83" t="n"/>
      <c r="I25" s="118" t="inlineStr">
        <is>
          <t>true</t>
        </is>
      </c>
      <c r="J25" s="118" t="n"/>
      <c r="K25" s="118" t="n"/>
      <c r="L25" s="118" t="n"/>
      <c r="M25" s="118" t="n"/>
      <c r="N25" s="118" t="n"/>
      <c r="O25" s="118" t="n"/>
      <c r="P25" s="118" t="n"/>
      <c r="U25" s="77" t="inlineStr">
        <is>
          <t>no</t>
        </is>
      </c>
      <c r="W25" s="275" t="n">
        <v>2.117356061935425</v>
      </c>
      <c r="X25" s="170">
        <f>1</f>
        <v/>
      </c>
      <c r="Y25" s="276">
        <f>IF(W25&lt;&gt;"",W25*X25,"")</f>
        <v/>
      </c>
      <c r="Z25" s="276">
        <f>IF(AND(W25&lt;&gt;"",U25="yes"),W25*X25,"")</f>
        <v/>
      </c>
      <c r="AA25" s="76" t="n"/>
    </row>
    <row r="26" customFormat="1" s="77">
      <c r="C26" s="78" t="n"/>
      <c r="D26" s="79" t="n"/>
      <c r="E26" s="79" t="n"/>
      <c r="G26" s="83" t="n"/>
      <c r="H26" s="83" t="n"/>
      <c r="I26" s="127" t="n"/>
      <c r="J26" s="127" t="n"/>
      <c r="K26" s="127" t="n"/>
      <c r="L26" s="126" t="n"/>
      <c r="M26" s="127" t="n"/>
      <c r="N26" s="127" t="n"/>
      <c r="O26" s="118" t="n"/>
      <c r="P26" s="118" t="n"/>
      <c r="U26" s="77" t="inlineStr"/>
      <c r="W26" s="275" t="inlineStr"/>
      <c r="X26" s="170">
        <f>1</f>
        <v/>
      </c>
      <c r="Y26" s="276">
        <f>IF(W26&lt;&gt;"",W26*X26,"")</f>
        <v/>
      </c>
      <c r="Z26" s="276">
        <f>IF(AND(W26&lt;&gt;"",U26="yes"),W26*X26,"")</f>
        <v/>
      </c>
      <c r="AA26" s="76" t="n"/>
    </row>
    <row r="27" customFormat="1" s="96">
      <c r="A27" s="158" t="inlineStr">
        <is>
          <t>text</t>
        </is>
      </c>
      <c r="B27" s="158" t="inlineStr">
        <is>
          <t>phone_number_personal</t>
        </is>
      </c>
      <c r="C27" s="159" t="inlineStr">
        <is>
          <t>What is your phone number?</t>
        </is>
      </c>
      <c r="D27" s="161" t="n"/>
      <c r="E27" s="161" t="n"/>
      <c r="F27" s="160" t="n"/>
      <c r="G27" s="162" t="n"/>
      <c r="H27" s="162" t="n"/>
      <c r="I27" s="157" t="inlineStr">
        <is>
          <t>true</t>
        </is>
      </c>
      <c r="J27" s="157" t="inlineStr">
        <is>
          <t>numbers</t>
        </is>
      </c>
      <c r="K27" s="127" t="inlineStr">
        <is>
          <t>regex(.,’^[0-9]{10}$’)</t>
        </is>
      </c>
      <c r="L27" s="157" t="inlineStr">
        <is>
          <t>Please enter the telephone number in the correct format, e.g. 0700704549</t>
        </is>
      </c>
      <c r="M27" s="157" t="n"/>
      <c r="N27" s="157" t="n"/>
      <c r="O27" s="157" t="n"/>
      <c r="P27" s="126" t="n"/>
      <c r="U27" s="160" t="inlineStr">
        <is>
          <t>yes - panel</t>
        </is>
      </c>
      <c r="W27" s="275" t="n">
        <v>10</v>
      </c>
      <c r="X27" s="170">
        <f>1</f>
        <v/>
      </c>
      <c r="Y27" s="276">
        <f>IF(W27&lt;&gt;"",W27*X27,"")</f>
        <v/>
      </c>
      <c r="Z27" s="276">
        <f>IF(AND(W27&lt;&gt;"",U27="yes"),W27*X27,"")</f>
        <v/>
      </c>
    </row>
    <row r="28" ht="28.8" customFormat="1" customHeight="1" s="96">
      <c r="A28" s="158" t="inlineStr">
        <is>
          <t>select_one contact_info</t>
        </is>
      </c>
      <c r="B28" s="158" t="inlineStr">
        <is>
          <t>contact_2</t>
        </is>
      </c>
      <c r="C28" s="159" t="inlineStr">
        <is>
          <t>Can you give me an additonal phone number belonging to you, a relative or a friend at which you can be reached?</t>
        </is>
      </c>
      <c r="D28" s="161" t="n"/>
      <c r="E28" s="161" t="n"/>
      <c r="F28" s="160" t="n"/>
      <c r="G28" s="162" t="n"/>
      <c r="H28" s="162" t="n"/>
      <c r="I28" s="157" t="inlineStr">
        <is>
          <t>true</t>
        </is>
      </c>
      <c r="J28" s="157" t="n"/>
      <c r="K28" s="126" t="n"/>
      <c r="L28" s="157" t="n"/>
      <c r="M28" s="157" t="n"/>
      <c r="N28" s="157" t="n"/>
      <c r="O28" s="157" t="n"/>
      <c r="P28" s="126" t="n"/>
      <c r="U28" s="160" t="inlineStr">
        <is>
          <t>yes - panel</t>
        </is>
      </c>
      <c r="W28" s="275" t="n">
        <v>10</v>
      </c>
      <c r="X28" s="170">
        <f>1</f>
        <v/>
      </c>
      <c r="Y28" s="276">
        <f>IF(W28&lt;&gt;"",W28*X28,"")</f>
        <v/>
      </c>
      <c r="Z28" s="276">
        <f>IF(AND(W28&lt;&gt;"",U28="yes"),W28*X28,"")</f>
        <v/>
      </c>
    </row>
    <row r="29" customFormat="1" s="96">
      <c r="A29" s="158" t="inlineStr">
        <is>
          <t>text</t>
        </is>
      </c>
      <c r="B29" s="158" t="inlineStr">
        <is>
          <t>phone_number_2</t>
        </is>
      </c>
      <c r="C29" s="159" t="inlineStr">
        <is>
          <t>What is the additional phone number?</t>
        </is>
      </c>
      <c r="D29" s="161" t="n"/>
      <c r="E29" s="161" t="n"/>
      <c r="F29" s="160" t="n"/>
      <c r="G29" s="162" t="n"/>
      <c r="H29" s="162" t="n"/>
      <c r="I29" s="157" t="inlineStr">
        <is>
          <t>true</t>
        </is>
      </c>
      <c r="J29" s="157" t="inlineStr">
        <is>
          <t>numbers</t>
        </is>
      </c>
      <c r="K29" s="127" t="inlineStr">
        <is>
          <t>regex(.,’^[0-9]{10}$’)</t>
        </is>
      </c>
      <c r="L29" s="157" t="inlineStr">
        <is>
          <t>Please enter the telephone number in the correct format, e.g. 0700704549</t>
        </is>
      </c>
      <c r="M29" s="157" t="inlineStr">
        <is>
          <t xml:space="preserve">${contact_2} = '1' or ${contact_2} = '2' or ${contact_2} = '3' </t>
        </is>
      </c>
      <c r="N29" s="157" t="n"/>
      <c r="O29" s="157" t="n"/>
      <c r="P29" s="126" t="n"/>
      <c r="U29" s="160" t="inlineStr">
        <is>
          <t>yes - panel</t>
        </is>
      </c>
      <c r="W29" s="275" t="n">
        <v>10</v>
      </c>
      <c r="X29" s="170">
        <f>1</f>
        <v/>
      </c>
      <c r="Y29" s="276">
        <f>IF(W29&lt;&gt;"",W29*X29,"")</f>
        <v/>
      </c>
      <c r="Z29" s="276">
        <f>IF(AND(W29&lt;&gt;"",U29="yes"),W29*X29,"")</f>
        <v/>
      </c>
    </row>
    <row r="30" customFormat="1" s="96">
      <c r="A30" s="158" t="inlineStr">
        <is>
          <t>text</t>
        </is>
      </c>
      <c r="B30" s="158" t="inlineStr">
        <is>
          <t>contact_2_name</t>
        </is>
      </c>
      <c r="C30" s="159" t="inlineStr">
        <is>
          <t>What is the name of the contact?</t>
        </is>
      </c>
      <c r="D30" s="161" t="n"/>
      <c r="E30" s="161" t="n"/>
      <c r="F30" s="160" t="n"/>
      <c r="G30" s="162" t="n"/>
      <c r="H30" s="162" t="n"/>
      <c r="I30" s="157" t="inlineStr">
        <is>
          <t>true</t>
        </is>
      </c>
      <c r="J30" s="157" t="n"/>
      <c r="K30" s="126" t="n"/>
      <c r="L30" s="157" t="n"/>
      <c r="M30" s="157" t="inlineStr">
        <is>
          <t xml:space="preserve">${contact_2} = '2' or ${contact_2} = '3' </t>
        </is>
      </c>
      <c r="N30" s="157" t="n"/>
      <c r="O30" s="157" t="n"/>
      <c r="P30" s="126" t="n"/>
      <c r="U30" s="160" t="inlineStr">
        <is>
          <t>yes - panel</t>
        </is>
      </c>
      <c r="W30" s="275" t="n">
        <v>10</v>
      </c>
      <c r="X30" s="170">
        <f>1</f>
        <v/>
      </c>
      <c r="Y30" s="276">
        <f>IF(W30&lt;&gt;"",W30*X30,"")</f>
        <v/>
      </c>
      <c r="Z30" s="276">
        <f>IF(AND(W30&lt;&gt;"",U30="yes"),W30*X30,"")</f>
        <v/>
      </c>
    </row>
    <row r="31" ht="28.8" customFormat="1" customHeight="1" s="96">
      <c r="A31" s="158" t="inlineStr">
        <is>
          <t>select_one contact_info</t>
        </is>
      </c>
      <c r="B31" s="158" t="inlineStr">
        <is>
          <t>contact_3</t>
        </is>
      </c>
      <c r="C31" s="159" t="inlineStr">
        <is>
          <t>Can you give me an additonal phone number belonging to you, a relative or a friend at which you can be reached?</t>
        </is>
      </c>
      <c r="D31" s="161" t="n"/>
      <c r="E31" s="161" t="n"/>
      <c r="F31" s="160" t="n"/>
      <c r="G31" s="162" t="n"/>
      <c r="H31" s="162" t="n"/>
      <c r="I31" s="157" t="inlineStr">
        <is>
          <t>true</t>
        </is>
      </c>
      <c r="J31" s="157" t="n"/>
      <c r="K31" s="126" t="n"/>
      <c r="L31" s="157" t="n"/>
      <c r="M31" s="157" t="inlineStr">
        <is>
          <t xml:space="preserve">${contact_2} = '1' or ${contact_2} = '2' or ${contact_2} = '3' </t>
        </is>
      </c>
      <c r="N31" s="157" t="n"/>
      <c r="O31" s="157" t="n"/>
      <c r="P31" s="126" t="n"/>
      <c r="U31" s="160" t="inlineStr">
        <is>
          <t>yes - panel</t>
        </is>
      </c>
      <c r="W31" s="275" t="n">
        <v>10</v>
      </c>
      <c r="X31" s="170">
        <f>1</f>
        <v/>
      </c>
      <c r="Y31" s="276">
        <f>IF(W31&lt;&gt;"",W31*X31,"")</f>
        <v/>
      </c>
      <c r="Z31" s="276">
        <f>IF(AND(W31&lt;&gt;"",U31="yes"),W31*X31,"")</f>
        <v/>
      </c>
    </row>
    <row r="32" customFormat="1" s="96">
      <c r="A32" s="158" t="inlineStr">
        <is>
          <t>text</t>
        </is>
      </c>
      <c r="B32" s="158" t="inlineStr">
        <is>
          <t>phone_number_3</t>
        </is>
      </c>
      <c r="C32" s="159" t="inlineStr">
        <is>
          <t>What is the additional phone number?</t>
        </is>
      </c>
      <c r="D32" s="161" t="n"/>
      <c r="E32" s="161" t="n"/>
      <c r="F32" s="160" t="n"/>
      <c r="G32" s="162" t="n"/>
      <c r="H32" s="162" t="n"/>
      <c r="I32" s="157" t="inlineStr">
        <is>
          <t>true</t>
        </is>
      </c>
      <c r="J32" s="157" t="inlineStr">
        <is>
          <t>numbers</t>
        </is>
      </c>
      <c r="K32" s="127" t="inlineStr">
        <is>
          <t>regex(.,’^[0-9]{10}$’)</t>
        </is>
      </c>
      <c r="L32" s="157" t="inlineStr">
        <is>
          <t>Please enter the telephone number in the correct format, e.g. 0700704549</t>
        </is>
      </c>
      <c r="M32" s="157" t="inlineStr">
        <is>
          <t xml:space="preserve">${contact_3} = '1' or ${contact_3} = '2' or ${contact_3} = '3' </t>
        </is>
      </c>
      <c r="N32" s="157" t="n"/>
      <c r="O32" s="157" t="n"/>
      <c r="P32" s="126" t="n"/>
      <c r="U32" s="160" t="inlineStr">
        <is>
          <t>yes - panel</t>
        </is>
      </c>
      <c r="W32" s="275" t="n">
        <v>10</v>
      </c>
      <c r="X32" s="170">
        <f>1</f>
        <v/>
      </c>
      <c r="Y32" s="276">
        <f>IF(W32&lt;&gt;"",W32*X32,"")</f>
        <v/>
      </c>
      <c r="Z32" s="276">
        <f>IF(AND(W32&lt;&gt;"",U32="yes"),W32*X32,"")</f>
        <v/>
      </c>
    </row>
    <row r="33" customFormat="1" s="96">
      <c r="A33" s="158" t="inlineStr">
        <is>
          <t>text</t>
        </is>
      </c>
      <c r="B33" s="158" t="inlineStr">
        <is>
          <t>contact_3_name</t>
        </is>
      </c>
      <c r="C33" s="159" t="inlineStr">
        <is>
          <t>What is the name of the contact?</t>
        </is>
      </c>
      <c r="D33" s="161" t="n"/>
      <c r="E33" s="161" t="n"/>
      <c r="F33" s="160" t="n"/>
      <c r="G33" s="162" t="n"/>
      <c r="H33" s="162" t="n"/>
      <c r="I33" s="157" t="inlineStr">
        <is>
          <t>true</t>
        </is>
      </c>
      <c r="J33" s="157" t="n"/>
      <c r="K33" s="126" t="n"/>
      <c r="L33" s="157" t="n"/>
      <c r="M33" s="157" t="inlineStr">
        <is>
          <t xml:space="preserve">${contact_3} = '2' or ${contact_3} = '3' </t>
        </is>
      </c>
      <c r="N33" s="157" t="n"/>
      <c r="O33" s="157" t="n"/>
      <c r="P33" s="126" t="n"/>
      <c r="U33" s="160" t="inlineStr">
        <is>
          <t>yes - panel</t>
        </is>
      </c>
      <c r="W33" s="275" t="n">
        <v>10</v>
      </c>
      <c r="X33" s="170">
        <f>1</f>
        <v/>
      </c>
      <c r="Y33" s="276">
        <f>IF(W33&lt;&gt;"",W33*X33,"")</f>
        <v/>
      </c>
      <c r="Z33" s="276">
        <f>IF(AND(W33&lt;&gt;"",U33="yes"),W33*X33,"")</f>
        <v/>
      </c>
    </row>
    <row r="34" customFormat="1" s="77">
      <c r="C34" s="78" t="n"/>
      <c r="D34" s="79" t="n"/>
      <c r="E34" s="79" t="n"/>
      <c r="G34" s="83" t="n"/>
      <c r="H34" s="83" t="n"/>
      <c r="I34" s="118" t="n"/>
      <c r="J34" s="118" t="n"/>
      <c r="K34" s="118" t="n"/>
      <c r="L34" s="125" t="n"/>
      <c r="M34" s="118" t="n"/>
      <c r="N34" s="118" t="n"/>
      <c r="O34" s="118" t="n"/>
      <c r="P34" s="118" t="n"/>
      <c r="U34" s="77" t="inlineStr"/>
      <c r="W34" s="275" t="inlineStr"/>
      <c r="X34" s="170">
        <f>1</f>
        <v/>
      </c>
      <c r="Y34" s="276">
        <f>IF(W34&lt;&gt;"",W34*X34,"")</f>
        <v/>
      </c>
      <c r="Z34" s="276">
        <f>IF(AND(W34&lt;&gt;"",U34="yes"),W34*X34,"")</f>
        <v/>
      </c>
      <c r="AA34" s="76" t="n"/>
    </row>
    <row r="35">
      <c r="A35" s="75" t="inlineStr">
        <is>
          <t>select_one admin1</t>
        </is>
      </c>
      <c r="B35" s="75" t="inlineStr">
        <is>
          <t>adm1_pcode</t>
        </is>
      </c>
      <c r="C35" s="44" t="inlineStr">
        <is>
          <t>Currently, in which Province does your household reside?</t>
        </is>
      </c>
      <c r="D35" s="88" t="n"/>
      <c r="E35" s="88" t="n"/>
      <c r="F35" s="75" t="inlineStr">
        <is>
          <t>[HINT: HOUSEHOLD CONSISTS OF ALL MEMBERS LIVING TOGETHER, SHARING RESOURCES &amp; EATING FROM THE SAME POT.]</t>
        </is>
      </c>
      <c r="G35" s="89" t="n"/>
      <c r="H35" s="89" t="n"/>
      <c r="I35" s="117" t="inlineStr">
        <is>
          <t>true</t>
        </is>
      </c>
      <c r="J35" s="119" t="inlineStr">
        <is>
          <t>autocomplete</t>
        </is>
      </c>
      <c r="K35" s="117" t="n"/>
      <c r="L35" s="126" t="n"/>
      <c r="M35" s="117" t="n"/>
      <c r="N35" s="117" t="n"/>
      <c r="O35" s="117" t="n"/>
      <c r="P35" s="117" t="n"/>
      <c r="U35" s="45" t="inlineStr">
        <is>
          <t>yes</t>
        </is>
      </c>
      <c r="W35" s="275" t="n">
        <v>8.800000000000001</v>
      </c>
      <c r="X35" s="170">
        <f>1</f>
        <v/>
      </c>
      <c r="Y35" s="276">
        <f>IF(W35&lt;&gt;"",W35*X35,"")</f>
        <v/>
      </c>
      <c r="Z35" s="276">
        <f>IF(AND(W35&lt;&gt;"",U35="yes"),W35*X35,"")</f>
        <v/>
      </c>
    </row>
    <row r="36">
      <c r="A36" s="75" t="inlineStr">
        <is>
          <t>calculate</t>
        </is>
      </c>
      <c r="B36" s="75" t="inlineStr">
        <is>
          <t>adm1_name</t>
        </is>
      </c>
      <c r="C36" s="44" t="n"/>
      <c r="D36" s="88" t="n"/>
      <c r="E36" s="88" t="n"/>
      <c r="F36" s="75" t="n"/>
      <c r="G36" s="89" t="n"/>
      <c r="H36" s="89" t="n"/>
      <c r="I36" s="117" t="n"/>
      <c r="J36" s="117" t="n"/>
      <c r="K36" s="117" t="n"/>
      <c r="L36" s="117" t="n"/>
      <c r="M36" s="117" t="n"/>
      <c r="N36" s="117" t="n"/>
      <c r="O36" s="117" t="n"/>
      <c r="P36" s="117" t="inlineStr">
        <is>
          <t>jr:choice-name(${adm1_pcode},'${adm1_pcode}')</t>
        </is>
      </c>
      <c r="U36" s="45" t="inlineStr">
        <is>
          <t>yes</t>
        </is>
      </c>
      <c r="W36" s="275" t="n"/>
      <c r="X36" s="170">
        <f>1</f>
        <v/>
      </c>
      <c r="Y36" s="276">
        <f>IF(W36&lt;&gt;"",W36*X36,"")</f>
        <v/>
      </c>
      <c r="Z36" s="276">
        <f>IF(AND(W36&lt;&gt;"",U36="yes"),W36*X36,"")</f>
        <v/>
      </c>
    </row>
    <row r="37">
      <c r="A37" s="75" t="inlineStr">
        <is>
          <t>select_one admin2</t>
        </is>
      </c>
      <c r="B37" s="75" t="inlineStr">
        <is>
          <t xml:space="preserve">adm2_pcode </t>
        </is>
      </c>
      <c r="C37" s="44" t="inlineStr">
        <is>
          <t>Currently, in which District does your household reside?</t>
        </is>
      </c>
      <c r="D37" s="88" t="n"/>
      <c r="E37" s="88" t="n"/>
      <c r="F37" s="75" t="n"/>
      <c r="G37" s="89" t="n"/>
      <c r="H37" s="89" t="n"/>
      <c r="I37" s="117" t="inlineStr">
        <is>
          <t>true</t>
        </is>
      </c>
      <c r="J37" s="119" t="inlineStr">
        <is>
          <t>autocomplete</t>
        </is>
      </c>
      <c r="K37" s="117" t="n"/>
      <c r="L37" s="117" t="n"/>
      <c r="M37" s="117" t="n"/>
      <c r="N37" s="117" t="inlineStr">
        <is>
          <t>my_filter_admin=${adm1_pcode}</t>
        </is>
      </c>
      <c r="O37" s="117" t="n"/>
      <c r="P37" s="117" t="n"/>
      <c r="U37" s="45" t="inlineStr">
        <is>
          <t>yes</t>
        </is>
      </c>
      <c r="W37" s="275" t="n">
        <v>10.4</v>
      </c>
      <c r="X37" s="170">
        <f>1</f>
        <v/>
      </c>
      <c r="Y37" s="276">
        <f>IF(W37&lt;&gt;"",W37*X37,"")</f>
        <v/>
      </c>
      <c r="Z37" s="276">
        <f>IF(AND(W37&lt;&gt;"",U37="yes"),W37*X37,"")</f>
        <v/>
      </c>
    </row>
    <row r="38">
      <c r="A38" s="75" t="inlineStr">
        <is>
          <t>calculate</t>
        </is>
      </c>
      <c r="B38" s="75" t="inlineStr">
        <is>
          <t>adm2_name</t>
        </is>
      </c>
      <c r="C38" s="44" t="n"/>
      <c r="D38" s="88" t="n"/>
      <c r="E38" s="88" t="n"/>
      <c r="F38" s="75" t="n"/>
      <c r="G38" s="89" t="n"/>
      <c r="H38" s="89" t="n"/>
      <c r="I38" s="117" t="n"/>
      <c r="J38" s="117" t="n"/>
      <c r="K38" s="117" t="n"/>
      <c r="L38" s="117" t="n"/>
      <c r="M38" s="117" t="n"/>
      <c r="N38" s="117" t="n"/>
      <c r="O38" s="117" t="n"/>
      <c r="P38" s="117" t="inlineStr">
        <is>
          <t>jr:choice-name(${adm2_pcode},'${adm2_pcode}')</t>
        </is>
      </c>
      <c r="U38" s="45" t="inlineStr">
        <is>
          <t>yes</t>
        </is>
      </c>
      <c r="W38" s="275" t="n"/>
      <c r="X38" s="170">
        <f>1</f>
        <v/>
      </c>
      <c r="Y38" s="276">
        <f>IF(W38&lt;&gt;"",W38*X38,"")</f>
        <v/>
      </c>
      <c r="Z38" s="276">
        <f>IF(AND(W38&lt;&gt;"",U38="yes"),W38*X38,"")</f>
        <v/>
      </c>
    </row>
    <row r="39">
      <c r="A39" s="245" t="inlineStr">
        <is>
          <t>text</t>
        </is>
      </c>
      <c r="B39" s="246" t="inlineStr">
        <is>
          <t>o_village_name</t>
        </is>
      </c>
      <c r="C39" s="259" t="inlineStr">
        <is>
          <t>Currently, in which village/community does your household reside?</t>
        </is>
      </c>
      <c r="D39" s="247" t="n"/>
      <c r="E39" s="247" t="n"/>
      <c r="F39" s="246" t="n"/>
      <c r="G39" s="246" t="n"/>
      <c r="H39" s="246" t="n"/>
      <c r="I39" s="248" t="inlineStr">
        <is>
          <t>true</t>
        </is>
      </c>
      <c r="J39" s="248" t="n"/>
      <c r="K39" s="248" t="n"/>
      <c r="L39" s="248" t="n"/>
      <c r="M39" s="248" t="n"/>
      <c r="N39" s="248" t="n"/>
      <c r="O39" s="248" t="n"/>
      <c r="P39" s="248" t="n"/>
      <c r="Q39" s="246" t="n"/>
      <c r="R39" s="246" t="n"/>
      <c r="S39" s="246" t="n"/>
      <c r="T39" s="246" t="n"/>
      <c r="U39" s="246" t="n"/>
      <c r="V39" s="246" t="n"/>
      <c r="W39" s="279" t="n">
        <v>5</v>
      </c>
      <c r="X39" s="251">
        <f>1</f>
        <v/>
      </c>
      <c r="Y39" s="280">
        <f>IF(W39&lt;&gt;"",W39*X39,"")</f>
        <v/>
      </c>
      <c r="Z39" s="276" t="n"/>
    </row>
    <row r="40" ht="43.2"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88" t="n"/>
      <c r="F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88" t="n"/>
      <c r="H40" s="88" t="n"/>
      <c r="I40" s="43" t="inlineStr">
        <is>
          <t>true</t>
        </is>
      </c>
      <c r="J40" s="43" t="n"/>
      <c r="K40" s="43" t="n"/>
      <c r="L40" s="43" t="n"/>
      <c r="M40" s="43" t="n"/>
      <c r="N40" s="43" t="n"/>
      <c r="O40" s="43" t="n"/>
      <c r="P40" s="43" t="n"/>
      <c r="U40" s="46" t="inlineStr">
        <is>
          <t>yes</t>
        </is>
      </c>
      <c r="W40" s="281" t="n">
        <v>31.37237739562988</v>
      </c>
      <c r="X40" s="170">
        <f>1</f>
        <v/>
      </c>
      <c r="Y40" s="282">
        <f>IF(W40&lt;&gt;"",W40*X40,"")</f>
        <v/>
      </c>
      <c r="Z40" s="282">
        <f>IF(AND(W40&lt;&gt;"",U40="yes"),W40*X40,"")</f>
        <v/>
      </c>
      <c r="AA40" s="47" t="n"/>
    </row>
    <row r="41">
      <c r="D41" s="88" t="n"/>
      <c r="E41" s="88" t="n"/>
      <c r="G41" s="89" t="n"/>
      <c r="H41" s="89" t="n"/>
      <c r="U41" s="45" t="inlineStr"/>
      <c r="W41" s="275" t="inlineStr"/>
      <c r="X41" s="170">
        <f>1</f>
        <v/>
      </c>
      <c r="Y41" s="276">
        <f>IF(W41&lt;&gt;"",W41*X41,"")</f>
        <v/>
      </c>
      <c r="Z41" s="276">
        <f>IF(AND(W41&lt;&gt;"",U41="yes"),W41*X41,"")</f>
        <v/>
      </c>
    </row>
    <row r="42" ht="15" customFormat="1" customHeight="1" s="76" thickBot="1">
      <c r="A42" s="97" t="inlineStr">
        <is>
          <t>end_group</t>
        </is>
      </c>
      <c r="B42" s="97" t="n"/>
      <c r="C42" s="98" t="n"/>
      <c r="D42" s="92" t="n"/>
      <c r="E42" s="92" t="n"/>
      <c r="F42" s="97" t="n"/>
      <c r="G42" s="93" t="n"/>
      <c r="H42" s="93" t="n"/>
      <c r="I42" s="128" t="n"/>
      <c r="J42" s="128" t="n"/>
      <c r="K42" s="128" t="n"/>
      <c r="L42" s="128" t="n"/>
      <c r="M42" s="128" t="n"/>
      <c r="N42" s="128" t="n"/>
      <c r="O42" s="128" t="n"/>
      <c r="P42" s="128" t="n"/>
      <c r="U42" s="76" t="inlineStr"/>
      <c r="W42" s="275" t="inlineStr"/>
      <c r="X42" s="170" t="n"/>
      <c r="Y42" s="276">
        <f>IF(W42&lt;&gt;"",W42*X42,"")</f>
        <v/>
      </c>
      <c r="Z42" s="276">
        <f>IF(AND(W42&lt;&gt;"",U42="yes"),W42*X42,"")</f>
        <v/>
      </c>
    </row>
    <row r="43" ht="15" customFormat="1" customHeight="1" s="73" thickTop="1">
      <c r="A43" s="70" t="inlineStr">
        <is>
          <t>begin_group</t>
        </is>
      </c>
      <c r="B43" s="70" t="inlineStr">
        <is>
          <t>generalInfo</t>
        </is>
      </c>
      <c r="C43" s="94" t="inlineStr">
        <is>
          <t>GENERAL INFORMATION</t>
        </is>
      </c>
      <c r="D43" s="71" t="n"/>
      <c r="E43" s="71" t="n"/>
      <c r="F43" s="70" t="n"/>
      <c r="G43" s="72" t="n"/>
      <c r="H43" s="72" t="n"/>
      <c r="I43" s="122" t="inlineStr">
        <is>
          <t>false</t>
        </is>
      </c>
      <c r="J43" s="122" t="n"/>
      <c r="K43" s="122" t="n"/>
      <c r="L43" s="122" t="n"/>
      <c r="M43" s="122" t="inlineStr">
        <is>
          <t>${resp_agree} = '1' and ${hh_agricactivity} != '5' and ${hh_agricactivity} != '6'</t>
        </is>
      </c>
      <c r="N43" s="122" t="n"/>
      <c r="O43" s="122" t="n"/>
      <c r="P43" s="122" t="n"/>
      <c r="U43" s="45" t="inlineStr">
        <is>
          <t>yes</t>
        </is>
      </c>
      <c r="W43" s="275" t="n"/>
      <c r="X43" s="170" t="n"/>
      <c r="Y43" s="276">
        <f>IF(W43&lt;&gt;"",W43*X43,"")</f>
        <v/>
      </c>
      <c r="Z43" s="276">
        <f>IF(AND(W43&lt;&gt;"",U43="yes"),W43*X43,"")</f>
        <v/>
      </c>
      <c r="AA43" s="74" t="n"/>
    </row>
    <row r="44">
      <c r="D44" s="88" t="n"/>
      <c r="E44" s="88" t="n"/>
      <c r="G44" s="89" t="n"/>
      <c r="H44" s="89" t="n"/>
      <c r="U44" s="45" t="inlineStr"/>
      <c r="W44" s="275" t="inlineStr"/>
      <c r="X44" s="170">
        <f>1</f>
        <v/>
      </c>
      <c r="Y44" s="276">
        <f>IF(W44&lt;&gt;"",W44*X44,"")</f>
        <v/>
      </c>
      <c r="Z44" s="276">
        <f>IF(AND(W44&lt;&gt;"",U44="yes"),W44*X44,"")</f>
        <v/>
      </c>
    </row>
    <row r="45">
      <c r="A45" s="75" t="inlineStr">
        <is>
          <t>select_one yes_no</t>
        </is>
      </c>
      <c r="B45" s="75" t="inlineStr">
        <is>
          <t>resp_id</t>
        </is>
      </c>
      <c r="C45" s="44" t="inlineStr">
        <is>
          <t>Are you the head of household?</t>
        </is>
      </c>
      <c r="D45" s="88" t="n"/>
      <c r="E45" s="88" t="n"/>
      <c r="F45" s="75" t="n"/>
      <c r="G45" s="89" t="n"/>
      <c r="H45" s="89" t="n"/>
      <c r="I45" s="117" t="inlineStr">
        <is>
          <t>true</t>
        </is>
      </c>
      <c r="J45" s="117" t="n"/>
      <c r="K45" s="117" t="n"/>
      <c r="L45" s="117" t="n"/>
      <c r="M45" s="117" t="n"/>
      <c r="N45" s="117" t="n"/>
      <c r="O45" s="117" t="n"/>
      <c r="P45" s="117" t="n"/>
      <c r="U45" s="45" t="inlineStr">
        <is>
          <t>yes</t>
        </is>
      </c>
      <c r="W45" s="283" t="n"/>
      <c r="X45" s="232" t="n"/>
      <c r="Y45" s="284" t="n"/>
      <c r="Z45" s="276" t="n"/>
    </row>
    <row r="46">
      <c r="A46" s="75" t="inlineStr">
        <is>
          <t>select_one gender</t>
        </is>
      </c>
      <c r="B46" s="75" t="inlineStr">
        <is>
          <t>hh_gender</t>
        </is>
      </c>
      <c r="C46" s="44" t="inlineStr">
        <is>
          <t xml:space="preserve">Is the head of your household male or female? </t>
        </is>
      </c>
      <c r="D46" s="88" t="n"/>
      <c r="E46" s="88" t="n"/>
      <c r="F46" s="75" t="n"/>
      <c r="G46" s="89" t="n"/>
      <c r="H46" s="89" t="n"/>
      <c r="I46" s="117" t="inlineStr">
        <is>
          <t>true</t>
        </is>
      </c>
      <c r="J46" s="117" t="n"/>
      <c r="K46" s="117" t="n"/>
      <c r="L46" s="117" t="n"/>
      <c r="M46" s="117" t="inlineStr">
        <is>
          <t>${resp_id} != '1'</t>
        </is>
      </c>
      <c r="N46" s="117" t="n"/>
      <c r="O46" s="117" t="n"/>
      <c r="P46" s="117" t="n"/>
      <c r="U46" s="45" t="inlineStr">
        <is>
          <t>yes</t>
        </is>
      </c>
      <c r="W46" s="275" t="n">
        <v>10.08573150634766</v>
      </c>
      <c r="X46" s="170">
        <f>1</f>
        <v/>
      </c>
      <c r="Y46" s="276">
        <f>IF(W46&lt;&gt;"",W46*X46,"")</f>
        <v/>
      </c>
      <c r="Z46" s="276">
        <f>IF(AND(W46&lt;&gt;"",U46="yes"),W46*X46,"")</f>
        <v/>
      </c>
    </row>
    <row r="47">
      <c r="D47" s="88" t="n"/>
      <c r="E47" s="88" t="n"/>
      <c r="G47" s="89" t="n"/>
      <c r="H47" s="89" t="n"/>
      <c r="U47" s="45" t="inlineStr"/>
      <c r="W47" s="275" t="inlineStr"/>
      <c r="X47" s="170">
        <f>1</f>
        <v/>
      </c>
      <c r="Y47" s="276">
        <f>IF(W47&lt;&gt;"",W47*X47,"")</f>
        <v/>
      </c>
      <c r="Z47" s="276">
        <f>IF(AND(W47&lt;&gt;"",U47="yes"),W47*X47,"")</f>
        <v/>
      </c>
    </row>
    <row r="48">
      <c r="A48" s="75" t="inlineStr">
        <is>
          <t>select_one edu</t>
        </is>
      </c>
      <c r="B48" s="75" t="inlineStr">
        <is>
          <t>hh_education</t>
        </is>
      </c>
      <c r="C48" s="44" t="inlineStr">
        <is>
          <t xml:space="preserve">What is the educational level attained by the head of household? </t>
        </is>
      </c>
      <c r="D48" s="88" t="n"/>
      <c r="E48" s="88" t="n"/>
      <c r="F48" s="75" t="n"/>
      <c r="G48" s="89" t="n"/>
      <c r="H48" s="89" t="n"/>
      <c r="I48" s="117" t="inlineStr">
        <is>
          <t>true</t>
        </is>
      </c>
      <c r="J48" s="117" t="n"/>
      <c r="K48" s="117" t="n"/>
      <c r="L48" s="117" t="n"/>
      <c r="M48" s="117" t="n"/>
      <c r="N48" s="117" t="n"/>
      <c r="O48" s="117" t="n"/>
      <c r="P48" s="117" t="n"/>
      <c r="U48" s="45" t="inlineStr">
        <is>
          <t>yes</t>
        </is>
      </c>
      <c r="W48" s="275" t="n">
        <v>12.89403438568115</v>
      </c>
      <c r="X48" s="170">
        <f>1</f>
        <v/>
      </c>
      <c r="Y48" s="276">
        <f>IF(W48&lt;&gt;"",W48*X48,"")</f>
        <v/>
      </c>
      <c r="Z48" s="276">
        <f>IF(AND(W48&lt;&gt;"",U48="yes"),W48*X48,"")</f>
        <v/>
      </c>
    </row>
    <row r="49">
      <c r="D49" s="88" t="n"/>
      <c r="E49" s="88" t="n"/>
      <c r="G49" s="89" t="n"/>
      <c r="H49" s="89" t="n"/>
      <c r="U49" s="45" t="inlineStr"/>
      <c r="W49" s="275" t="inlineStr"/>
      <c r="X49" s="170">
        <f>1</f>
        <v/>
      </c>
      <c r="Y49" s="276">
        <f>IF(W49&lt;&gt;"",W49*X49,"")</f>
        <v/>
      </c>
      <c r="Z49" s="276">
        <f>IF(AND(W49&lt;&gt;"",U49="yes"),W49*X49,"")</f>
        <v/>
      </c>
    </row>
    <row r="50" customFormat="1" s="76">
      <c r="A50" s="76" t="inlineStr">
        <is>
          <t>select_one water</t>
        </is>
      </c>
      <c r="B50" s="76" t="inlineStr">
        <is>
          <t>hh_wealth_water</t>
        </is>
      </c>
      <c r="C50" s="47" t="inlineStr">
        <is>
          <t>Where does the water that you drink at home come from?</t>
        </is>
      </c>
      <c r="D50" s="99" t="n"/>
      <c r="E50" s="99" t="n"/>
      <c r="F50" s="100" t="n"/>
      <c r="G50" s="101" t="n"/>
      <c r="H50" s="101" t="n"/>
      <c r="I50" s="124" t="inlineStr">
        <is>
          <t>true</t>
        </is>
      </c>
      <c r="J50" s="129" t="n"/>
      <c r="K50" s="129" t="n"/>
      <c r="L50" s="129" t="n"/>
      <c r="M50" s="129" t="n"/>
      <c r="N50" s="129" t="n"/>
      <c r="O50" s="129" t="n"/>
      <c r="P50" s="129" t="n"/>
      <c r="U50" s="76" t="inlineStr">
        <is>
          <t>yes</t>
        </is>
      </c>
      <c r="W50" s="275" t="n">
        <v>15.26582908630371</v>
      </c>
      <c r="X50" s="170">
        <f>1</f>
        <v/>
      </c>
      <c r="Y50" s="276">
        <f>IF(W50&lt;&gt;"",W50*X50,"")</f>
        <v/>
      </c>
      <c r="Z50" s="276">
        <f>IF(AND(W50&lt;&gt;"",U50="yes"),W50*X50,"")</f>
        <v/>
      </c>
    </row>
    <row r="51" customFormat="1" s="76">
      <c r="A51" s="76" t="inlineStr">
        <is>
          <t>select_one toilet</t>
        </is>
      </c>
      <c r="B51" s="76" t="inlineStr">
        <is>
          <t>hh_wealth_toilet</t>
        </is>
      </c>
      <c r="C51" s="47" t="inlineStr">
        <is>
          <t>Where do household members typically go to use the toilet?</t>
        </is>
      </c>
      <c r="D51" s="99" t="n"/>
      <c r="E51" s="99" t="n"/>
      <c r="F51" s="100" t="n"/>
      <c r="G51" s="101" t="n"/>
      <c r="H51" s="101" t="n"/>
      <c r="I51" s="124" t="inlineStr">
        <is>
          <t>true</t>
        </is>
      </c>
      <c r="J51" s="129" t="n"/>
      <c r="K51" s="129" t="n"/>
      <c r="L51" s="129" t="n"/>
      <c r="M51" s="129" t="n"/>
      <c r="N51" s="129" t="n"/>
      <c r="O51" s="129" t="n"/>
      <c r="P51" s="129" t="n"/>
      <c r="U51" s="76" t="inlineStr">
        <is>
          <t>yes</t>
        </is>
      </c>
      <c r="W51" s="275" t="n">
        <v>15.12371826171875</v>
      </c>
      <c r="X51" s="170">
        <f>1</f>
        <v/>
      </c>
      <c r="Y51" s="276">
        <f>IF(W51&lt;&gt;"",W51*X51,"")</f>
        <v/>
      </c>
      <c r="Z51" s="276">
        <f>IF(AND(W51&lt;&gt;"",U51="yes"),W51*X51,"")</f>
        <v/>
      </c>
    </row>
    <row r="52" customFormat="1" s="76">
      <c r="A52" s="76" t="inlineStr">
        <is>
          <t>select_one light</t>
        </is>
      </c>
      <c r="B52" s="76" t="inlineStr">
        <is>
          <t>hh_wealth_light</t>
        </is>
      </c>
      <c r="C52" s="47" t="inlineStr">
        <is>
          <t>What is the main source of light in your dwelling?</t>
        </is>
      </c>
      <c r="D52" s="99" t="n"/>
      <c r="E52" s="99" t="n"/>
      <c r="F52" s="100" t="n"/>
      <c r="G52" s="101" t="n"/>
      <c r="H52" s="101" t="n"/>
      <c r="I52" s="124" t="inlineStr">
        <is>
          <t>true</t>
        </is>
      </c>
      <c r="J52" s="129" t="n"/>
      <c r="K52" s="129" t="n"/>
      <c r="L52" s="129" t="n"/>
      <c r="M52" s="129" t="n"/>
      <c r="N52" s="129" t="n"/>
      <c r="O52" s="129" t="n"/>
      <c r="P52" s="129" t="n"/>
      <c r="U52" s="76" t="inlineStr">
        <is>
          <t>yes</t>
        </is>
      </c>
      <c r="W52" s="275" t="n">
        <v>13.76013851165771</v>
      </c>
      <c r="X52" s="170">
        <f>1</f>
        <v/>
      </c>
      <c r="Y52" s="276">
        <f>IF(W52&lt;&gt;"",W52*X52,"")</f>
        <v/>
      </c>
      <c r="Z52" s="276">
        <f>IF(AND(W52&lt;&gt;"",U52="yes"),W52*X52,"")</f>
        <v/>
      </c>
    </row>
    <row r="53" customFormat="1" s="76">
      <c r="C53" s="47" t="n"/>
      <c r="D53" s="99" t="n"/>
      <c r="E53" s="99" t="n"/>
      <c r="F53" s="100" t="n"/>
      <c r="G53" s="101" t="n"/>
      <c r="H53" s="101" t="n"/>
      <c r="I53" s="129" t="n"/>
      <c r="J53" s="129" t="n"/>
      <c r="K53" s="129" t="n"/>
      <c r="L53" s="129" t="n"/>
      <c r="M53" s="129" t="n"/>
      <c r="N53" s="129" t="n"/>
      <c r="O53" s="129" t="n"/>
      <c r="P53" s="129" t="n"/>
      <c r="U53" s="76" t="inlineStr"/>
      <c r="W53" s="275" t="inlineStr"/>
      <c r="X53" s="170">
        <f>1</f>
        <v/>
      </c>
      <c r="Y53" s="276">
        <f>IF(W53&lt;&gt;"",W53*X53,"")</f>
        <v/>
      </c>
      <c r="Z53" s="276">
        <f>IF(AND(W53&lt;&gt;"",U53="yes"),W53*X53,"")</f>
        <v/>
      </c>
    </row>
    <row r="54" customFormat="1" s="77">
      <c r="A54" s="77" t="inlineStr">
        <is>
          <t>select_one residence</t>
        </is>
      </c>
      <c r="B54" s="77" t="inlineStr">
        <is>
          <t>hh_residencetype</t>
        </is>
      </c>
      <c r="C54" s="78" t="inlineStr">
        <is>
          <t>Which in the following types of residence best describes your residence?</t>
        </is>
      </c>
      <c r="D54" s="79" t="n"/>
      <c r="E54" s="79" t="n"/>
      <c r="F54" s="77" t="inlineStr">
        <is>
          <t>[INSTRUCTIONS: READ OUT THE OPTIONS.]
[HINT: IF RESPONDENT IS ONLY AWAY FROM THE HOUSEHOLD FOR SHORT SEASONAL WORK (&lt;6 MONTHS) OR TRANSHUMANCE, MAKE SURE TO REFER TO THEIR HOUSEHOLD BACK WHERE THEY TYPICALLY ARE LOCATED.]</t>
        </is>
      </c>
      <c r="G54" s="83" t="n"/>
      <c r="H54" s="83" t="n"/>
      <c r="I54" s="118" t="inlineStr">
        <is>
          <t>true</t>
        </is>
      </c>
      <c r="J54" s="118" t="n"/>
      <c r="K54" s="118" t="n"/>
      <c r="L54" s="118" t="n"/>
      <c r="M54" s="118" t="n"/>
      <c r="N54" s="118" t="n"/>
      <c r="O54" s="118" t="n"/>
      <c r="P54" s="118" t="n"/>
      <c r="U54" s="77" t="inlineStr">
        <is>
          <t>no</t>
        </is>
      </c>
      <c r="W54" s="275" t="n">
        <v>30.64618873596191</v>
      </c>
      <c r="X54" s="170">
        <f>1</f>
        <v/>
      </c>
      <c r="Y54" s="276">
        <f>IF(W54&lt;&gt;"",W54*X54,"")</f>
        <v/>
      </c>
      <c r="Z54" s="276">
        <f>IF(AND(W54&lt;&gt;"",U54="yes"),W54*X54,"")</f>
        <v/>
      </c>
      <c r="AA54" s="76" t="n"/>
    </row>
    <row r="55" customFormat="1" s="77">
      <c r="A55" s="77" t="inlineStr">
        <is>
          <t>select_multiple asset_prod</t>
        </is>
      </c>
      <c r="B55" s="77" t="inlineStr">
        <is>
          <t>hh_asset_prod</t>
        </is>
      </c>
      <c r="C55" s="78" t="inlineStr">
        <is>
          <t xml:space="preserve">Does your household own any of the following productive assets? </t>
        </is>
      </c>
      <c r="D55" s="79" t="n"/>
      <c r="E55" s="79" t="n"/>
      <c r="F55" s="77" t="inlineStr">
        <is>
          <t>[INSTRUCTIONS: MULTIPLE RESPONSES POSSIBLE. READ ANSWER OPTIONS OUT LOUD.]</t>
        </is>
      </c>
      <c r="G55" s="83" t="n"/>
      <c r="H55" s="83" t="n"/>
      <c r="I55" s="118" t="inlineStr">
        <is>
          <t>true</t>
        </is>
      </c>
      <c r="J55" s="118" t="n"/>
      <c r="K55" s="118" t="inlineStr">
        <is>
          <t>if(selected(.,'none') or selected(.,'dk') or selected(.,'ref'), count-selected(.) = 1, count-selected(.) &gt;= 1)</t>
        </is>
      </c>
      <c r="L55" s="118" t="n"/>
      <c r="M55" s="118" t="n"/>
      <c r="N55" s="118" t="n"/>
      <c r="O55" s="118" t="n"/>
      <c r="P55" s="118" t="n"/>
      <c r="U55" s="77" t="inlineStr">
        <is>
          <t>no</t>
        </is>
      </c>
      <c r="W55" s="275" t="n">
        <v>17</v>
      </c>
      <c r="X55" s="170">
        <f>1</f>
        <v/>
      </c>
      <c r="Y55" s="276">
        <f>IF(W55&lt;&gt;"",W55*X55,"")</f>
        <v/>
      </c>
      <c r="Z55" s="276">
        <f>IF(AND(W55&lt;&gt;"",U55="yes"),W55*X55,"")</f>
        <v/>
      </c>
      <c r="AA55" s="76" t="n"/>
    </row>
    <row r="56" customFormat="1" s="77">
      <c r="A56" s="77" t="inlineStr">
        <is>
          <t>select_one maritalstat</t>
        </is>
      </c>
      <c r="B56" s="77" t="inlineStr">
        <is>
          <t>hh_maritalstat</t>
        </is>
      </c>
      <c r="C56" s="78" t="inlineStr">
        <is>
          <t xml:space="preserve">What is the head of household’s current marital status? </t>
        </is>
      </c>
      <c r="D56" s="79" t="n"/>
      <c r="E56" s="79" t="n"/>
      <c r="G56" s="83" t="n"/>
      <c r="H56" s="83" t="n"/>
      <c r="I56" s="118" t="inlineStr">
        <is>
          <t>true</t>
        </is>
      </c>
      <c r="J56" s="118" t="n"/>
      <c r="K56" s="118" t="n"/>
      <c r="L56" s="118" t="n"/>
      <c r="M56" s="118" t="n"/>
      <c r="N56" s="118" t="n"/>
      <c r="O56" s="118" t="n"/>
      <c r="P56" s="118" t="n"/>
      <c r="U56" s="77" t="inlineStr">
        <is>
          <t>no</t>
        </is>
      </c>
      <c r="W56" s="275" t="n">
        <v>17</v>
      </c>
      <c r="X56" s="170">
        <f>1</f>
        <v/>
      </c>
      <c r="Y56" s="276">
        <f>IF(W56&lt;&gt;"",W56*X56,"")</f>
        <v/>
      </c>
      <c r="Z56" s="276">
        <f>IF(AND(W56&lt;&gt;"",U56="yes"),W56*X56,"")</f>
        <v/>
      </c>
      <c r="AA56" s="76" t="n"/>
    </row>
    <row r="57" customFormat="1" s="77">
      <c r="A57" s="77" t="inlineStr">
        <is>
          <t>select_one agegroup</t>
        </is>
      </c>
      <c r="B57" s="77" t="inlineStr">
        <is>
          <t>hh_age</t>
        </is>
      </c>
      <c r="C57" s="78" t="inlineStr">
        <is>
          <t xml:space="preserve">How old is the head of household? </t>
        </is>
      </c>
      <c r="D57" s="79" t="n"/>
      <c r="E57" s="79" t="n"/>
      <c r="G57" s="83" t="n"/>
      <c r="H57" s="83" t="n"/>
      <c r="I57" s="118" t="inlineStr">
        <is>
          <t>true</t>
        </is>
      </c>
      <c r="J57" s="118" t="n"/>
      <c r="K57" s="118" t="n"/>
      <c r="L57" s="118" t="n"/>
      <c r="M57" s="118" t="n"/>
      <c r="N57" s="118" t="n"/>
      <c r="O57" s="118" t="n"/>
      <c r="P57" s="118" t="n"/>
      <c r="U57" s="77" t="inlineStr">
        <is>
          <t>no</t>
        </is>
      </c>
      <c r="W57" s="275" t="n">
        <v>8.228806495666504</v>
      </c>
      <c r="X57" s="170">
        <f>1</f>
        <v/>
      </c>
      <c r="Y57" s="276">
        <f>IF(W57&lt;&gt;"",W57*X57,"")</f>
        <v/>
      </c>
      <c r="Z57" s="276">
        <f>IF(AND(W57&lt;&gt;"",U57="yes"),W57*X57,"")</f>
        <v/>
      </c>
      <c r="AA57" s="76" t="n"/>
    </row>
    <row r="58" customFormat="1" s="77">
      <c r="C58" s="78" t="n"/>
      <c r="D58" s="79" t="n"/>
      <c r="E58" s="79" t="n"/>
      <c r="G58" s="83" t="n"/>
      <c r="H58" s="83" t="n"/>
      <c r="I58" s="118" t="n"/>
      <c r="J58" s="118" t="n"/>
      <c r="K58" s="118" t="n"/>
      <c r="L58" s="118" t="n"/>
      <c r="M58" s="118" t="n"/>
      <c r="N58" s="118" t="n"/>
      <c r="O58" s="118" t="n"/>
      <c r="P58" s="118" t="n"/>
      <c r="U58" s="77" t="inlineStr"/>
      <c r="W58" s="275" t="inlineStr"/>
      <c r="X58" s="170">
        <f>1</f>
        <v/>
      </c>
      <c r="Y58" s="276">
        <f>IF(W58&lt;&gt;"",W58*X58,"")</f>
        <v/>
      </c>
      <c r="Z58" s="276">
        <f>IF(AND(W58&lt;&gt;"",U58="yes"),W58*X58,"")</f>
        <v/>
      </c>
      <c r="AA58" s="76" t="n"/>
    </row>
    <row r="59" ht="15" customHeight="1" thickBot="1">
      <c r="A59" s="102" t="inlineStr">
        <is>
          <t>end_group</t>
        </is>
      </c>
      <c r="B59" s="102" t="n"/>
      <c r="C59" s="103" t="n"/>
      <c r="D59" s="110" t="n"/>
      <c r="E59" s="110" t="n"/>
      <c r="F59" s="102" t="n"/>
      <c r="G59" s="111" t="n"/>
      <c r="H59" s="111" t="n"/>
      <c r="I59" s="130" t="n"/>
      <c r="J59" s="130" t="n"/>
      <c r="K59" s="130" t="n"/>
      <c r="L59" s="130" t="n"/>
      <c r="M59" s="130" t="n"/>
      <c r="N59" s="130" t="n"/>
      <c r="O59" s="130" t="n"/>
      <c r="P59" s="130" t="n"/>
      <c r="U59" s="45" t="inlineStr"/>
      <c r="W59" s="275" t="inlineStr"/>
      <c r="X59" s="170">
        <f>1</f>
        <v/>
      </c>
      <c r="Y59" s="276">
        <f>IF(W59&lt;&gt;"",W59*X59,"")</f>
        <v/>
      </c>
      <c r="Z59" s="276">
        <f>IF(AND(W59&lt;&gt;"",U59="yes"),W59*X59,"")</f>
        <v/>
      </c>
    </row>
    <row r="60" ht="15" customFormat="1" customHeight="1" s="73" thickTop="1">
      <c r="A60" s="82" t="inlineStr">
        <is>
          <t>begin_group</t>
        </is>
      </c>
      <c r="B60" s="82" t="inlineStr">
        <is>
          <t>Income_Shocks_group</t>
        </is>
      </c>
      <c r="C60" s="104" t="inlineStr">
        <is>
          <t>INCOME SOURCES, LIVELIHOODS AND SHOCKS</t>
        </is>
      </c>
      <c r="D60" s="175" t="n"/>
      <c r="E60" s="175" t="n"/>
      <c r="F60" s="82" t="n"/>
      <c r="G60" s="176" t="n"/>
      <c r="H60" s="176" t="n"/>
      <c r="I60" s="131" t="inlineStr">
        <is>
          <t>false</t>
        </is>
      </c>
      <c r="J60" s="131" t="n"/>
      <c r="K60" s="131" t="n"/>
      <c r="L60" s="131" t="n"/>
      <c r="M60" s="131" t="inlineStr">
        <is>
          <t>${resp_agree} = '1' and ${hh_agricactivity} != '5' and ${hh_agricactivity} != '6'</t>
        </is>
      </c>
      <c r="N60" s="131" t="n"/>
      <c r="O60" s="131" t="n"/>
      <c r="P60" s="131" t="n"/>
      <c r="U60" s="45" t="inlineStr">
        <is>
          <t>yes</t>
        </is>
      </c>
      <c r="W60" s="275" t="n"/>
      <c r="X60" s="170">
        <f>1</f>
        <v/>
      </c>
      <c r="Y60" s="276">
        <f>IF(W60&lt;&gt;"",W60*X60,"")</f>
        <v/>
      </c>
      <c r="Z60" s="276">
        <f>IF(AND(W60&lt;&gt;"",U60="yes"),W60*X60,"")</f>
        <v/>
      </c>
      <c r="AA60" s="74" t="n"/>
    </row>
    <row r="61">
      <c r="D61" s="88" t="n"/>
      <c r="E61" s="88" t="n"/>
      <c r="G61" s="89" t="n"/>
      <c r="H61" s="89" t="n"/>
      <c r="U61" s="45" t="inlineStr"/>
      <c r="W61" s="275" t="inlineStr"/>
      <c r="X61" s="170">
        <f>1</f>
        <v/>
      </c>
      <c r="Y61" s="276">
        <f>IF(W61&lt;&gt;"",W61*X61,"")</f>
        <v/>
      </c>
      <c r="Z61" s="276">
        <f>IF(AND(W61&lt;&gt;"",U61="yes"),W61*X61,"")</f>
        <v/>
      </c>
    </row>
    <row r="62">
      <c r="A62" s="80" t="inlineStr">
        <is>
          <t>select_one incomesource1</t>
        </is>
      </c>
      <c r="B62" s="80" t="inlineStr">
        <is>
          <t>income_main</t>
        </is>
      </c>
      <c r="C62" s="81" t="inlineStr">
        <is>
          <t>What was your household's main source of income in the past 3 months?</t>
        </is>
      </c>
      <c r="D62" s="99" t="n"/>
      <c r="E62" s="99" t="n"/>
      <c r="F62" s="76" t="inlineStr">
        <is>
          <t>[INSTRUCTIONS: REFUSED OPTIONS SHOULD BE AVOIDED AS MUCH AS POSSIBLE.]</t>
        </is>
      </c>
      <c r="G62" s="101" t="n"/>
      <c r="H62" s="101" t="n"/>
      <c r="I62" s="119" t="inlineStr">
        <is>
          <t>true</t>
        </is>
      </c>
      <c r="J62" s="119" t="inlineStr">
        <is>
          <t>minimal</t>
        </is>
      </c>
      <c r="K62" s="119" t="n"/>
      <c r="L62" s="119" t="n"/>
      <c r="M62" s="119" t="n"/>
      <c r="N62" s="119" t="n"/>
      <c r="O62" s="119" t="n"/>
      <c r="P62" s="119" t="n"/>
      <c r="U62" s="45" t="inlineStr">
        <is>
          <t>yes</t>
        </is>
      </c>
      <c r="W62" s="275" t="n">
        <v>36.92873382568359</v>
      </c>
      <c r="X62" s="170">
        <f>1</f>
        <v/>
      </c>
      <c r="Y62" s="276">
        <f>IF(W62&lt;&gt;"",W62*X62,"")</f>
        <v/>
      </c>
      <c r="Z62" s="276">
        <f>IF(AND(W62&lt;&gt;"",U62="yes"),W62*X62,"")</f>
        <v/>
      </c>
    </row>
    <row r="63">
      <c r="A63" s="80" t="inlineStr">
        <is>
          <t>calculate</t>
        </is>
      </c>
      <c r="B63" s="80" t="inlineStr">
        <is>
          <t>incomemain</t>
        </is>
      </c>
      <c r="C63" s="81" t="n"/>
      <c r="D63" s="99" t="n"/>
      <c r="E63" s="99" t="n"/>
      <c r="F63" s="76" t="n"/>
      <c r="G63" s="101" t="n"/>
      <c r="H63" s="101" t="n"/>
      <c r="I63" s="119" t="n"/>
      <c r="J63" s="119" t="n"/>
      <c r="K63" s="119" t="n"/>
      <c r="L63" s="119" t="n"/>
      <c r="M63" s="119" t="n"/>
      <c r="N63" s="119" t="n"/>
      <c r="O63" s="119" t="n"/>
      <c r="P63" s="119" t="inlineStr">
        <is>
          <t>jr:choice-name(${income_main},'${income_main}')</t>
        </is>
      </c>
      <c r="U63" s="45" t="inlineStr">
        <is>
          <t>yes</t>
        </is>
      </c>
      <c r="W63" s="275" t="n"/>
      <c r="X63" s="170">
        <f>1</f>
        <v/>
      </c>
      <c r="Y63" s="276">
        <f>IF(W63&lt;&gt;"",W63*X63,"")</f>
        <v/>
      </c>
      <c r="Z63" s="276">
        <f>IF(AND(W63&lt;&gt;"",U63="yes"),W63*X63,"")</f>
        <v/>
      </c>
    </row>
    <row r="64">
      <c r="A64" s="80" t="inlineStr">
        <is>
          <t>select_one yes_no</t>
        </is>
      </c>
      <c r="B64" s="80" t="inlineStr">
        <is>
          <t>income_main_crop_check</t>
        </is>
      </c>
      <c r="C64" s="81" t="inlineStr">
        <is>
          <t>Are the crops sold also produced by you or anyone in your household?</t>
        </is>
      </c>
      <c r="D64" s="99" t="n"/>
      <c r="E64" s="99" t="n"/>
      <c r="F64" s="76" t="n"/>
      <c r="G64" s="101" t="n"/>
      <c r="H64" s="101" t="n"/>
      <c r="I64" s="119" t="inlineStr">
        <is>
          <t>true</t>
        </is>
      </c>
      <c r="J64" s="119" t="n"/>
      <c r="K64" s="119" t="n"/>
      <c r="L64" s="119" t="n"/>
      <c r="M64" s="119" t="inlineStr">
        <is>
          <t xml:space="preserve">${income_main} = '1' or ${income_main} = '2' or ${income_main} = '3' </t>
        </is>
      </c>
      <c r="N64" s="119" t="n"/>
      <c r="O64" s="119" t="n"/>
      <c r="P64" s="119" t="n"/>
      <c r="U64" s="45" t="inlineStr">
        <is>
          <t>yes</t>
        </is>
      </c>
      <c r="W64" s="275" t="n">
        <v>0</v>
      </c>
      <c r="X64" s="170">
        <f>1</f>
        <v/>
      </c>
      <c r="Y64" s="276">
        <f>IF(W64&lt;&gt;"",W64*X64,"")</f>
        <v/>
      </c>
      <c r="Z64" s="276">
        <f>IF(AND(W64&lt;&gt;"",U64="yes"),W64*X64,"")</f>
        <v/>
      </c>
    </row>
    <row r="65" ht="28.8" customHeight="1">
      <c r="A65" s="80" t="inlineStr">
        <is>
          <t>select_one yes_no</t>
        </is>
      </c>
      <c r="B65" s="80" t="inlineStr">
        <is>
          <t>income_main_ls_check</t>
        </is>
      </c>
      <c r="C65" s="81" t="inlineStr">
        <is>
          <t>Are the livestock or livestock products sold also produced by you or anyone in your household?</t>
        </is>
      </c>
      <c r="D65" s="99" t="n"/>
      <c r="E65" s="99" t="n"/>
      <c r="F65" s="76" t="n"/>
      <c r="G65" s="101" t="n"/>
      <c r="H65" s="101" t="n"/>
      <c r="I65" s="119" t="inlineStr">
        <is>
          <t>true</t>
        </is>
      </c>
      <c r="J65" s="119" t="n"/>
      <c r="K65" s="119" t="n"/>
      <c r="L65" s="119" t="n"/>
      <c r="M65" s="119" t="inlineStr">
        <is>
          <t>${income_main} = '4'</t>
        </is>
      </c>
      <c r="N65" s="119" t="n"/>
      <c r="O65" s="119" t="n"/>
      <c r="P65" s="119" t="n"/>
      <c r="U65" s="45" t="inlineStr">
        <is>
          <t>yes</t>
        </is>
      </c>
      <c r="W65" s="275" t="n">
        <v>0</v>
      </c>
      <c r="X65" s="170">
        <f>1</f>
        <v/>
      </c>
      <c r="Y65" s="276">
        <f>IF(W65&lt;&gt;"",W65*X65,"")</f>
        <v/>
      </c>
      <c r="Z65" s="276">
        <f>IF(AND(W65&lt;&gt;"",U65="yes"),W65*X65,"")</f>
        <v/>
      </c>
    </row>
    <row r="66" ht="28.8" customHeight="1">
      <c r="A66" s="80" t="inlineStr">
        <is>
          <t>select_one yes_no</t>
        </is>
      </c>
      <c r="B66" s="80" t="inlineStr">
        <is>
          <t>income_main_fish_check</t>
        </is>
      </c>
      <c r="C66" s="81" t="inlineStr">
        <is>
          <t>Are the fish or aquatic products sold also captured/harvested by you or anyone in your household?</t>
        </is>
      </c>
      <c r="D66" s="99" t="n"/>
      <c r="E66" s="99" t="n"/>
      <c r="F66" s="76" t="n"/>
      <c r="G66" s="101" t="n"/>
      <c r="H66" s="101" t="n"/>
      <c r="I66" s="119" t="inlineStr">
        <is>
          <t>true</t>
        </is>
      </c>
      <c r="J66" s="119" t="n"/>
      <c r="K66" s="119" t="n"/>
      <c r="L66" s="119" t="n"/>
      <c r="M66" s="119" t="inlineStr">
        <is>
          <t>${income_main} = '6'</t>
        </is>
      </c>
      <c r="N66" s="119" t="n"/>
      <c r="O66" s="119" t="n"/>
      <c r="P66" s="119" t="n"/>
      <c r="U66" s="45" t="inlineStr">
        <is>
          <t>yes</t>
        </is>
      </c>
      <c r="W66" s="275" t="n">
        <v>0</v>
      </c>
      <c r="X66" s="170">
        <f>1</f>
        <v/>
      </c>
      <c r="Y66" s="276">
        <f>IF(W66&lt;&gt;"",W66*X66,"")</f>
        <v/>
      </c>
      <c r="Z66" s="276">
        <f>IF(AND(W66&lt;&gt;"",U66="yes"),W66*X66,"")</f>
        <v/>
      </c>
    </row>
    <row r="67">
      <c r="D67" s="88" t="n"/>
      <c r="E67" s="88" t="n"/>
      <c r="G67" s="89" t="n"/>
      <c r="H67" s="89" t="n"/>
      <c r="U67" s="45" t="inlineStr"/>
      <c r="W67" s="275" t="inlineStr"/>
      <c r="X67" s="170">
        <f>1</f>
        <v/>
      </c>
      <c r="Y67" s="276">
        <f>IF(W67&lt;&gt;"",W67*X67,"")</f>
        <v/>
      </c>
      <c r="Z67" s="276">
        <f>IF(AND(W67&lt;&gt;"",U67="yes"),W67*X67,"")</f>
        <v/>
      </c>
    </row>
    <row r="68" ht="28.8" customFormat="1" customHeight="1" s="77">
      <c r="A68" s="77" t="inlineStr">
        <is>
          <t>decimal</t>
        </is>
      </c>
      <c r="B68" s="77" t="inlineStr">
        <is>
          <t>income_main_amount</t>
        </is>
      </c>
      <c r="C68" s="78" t="inlineStr">
        <is>
          <t>How much was earned (in Afghani) from your main income source, ${incomemain}, in the past 3 months ?</t>
        </is>
      </c>
      <c r="D68" s="79" t="n"/>
      <c r="E68" s="79" t="n"/>
      <c r="F68" s="77" t="inlineStr">
        <is>
          <t>[INSTRUCTIONS: MAKE SURE THE INFORMATION IS RECORDED IN THE CORRECT CURRENCY. ENTER 888 FOR DON'T KNOW AND 999 FOR REFUSED.]</t>
        </is>
      </c>
      <c r="G68" s="83" t="n"/>
      <c r="H68" s="83" t="n"/>
      <c r="I68" s="118" t="inlineStr">
        <is>
          <t>true</t>
        </is>
      </c>
      <c r="J68" s="118" t="n"/>
      <c r="K68" s="118" t="inlineStr">
        <is>
          <t>. &gt; 500 or . = 888 or . = 999</t>
        </is>
      </c>
      <c r="L68" s="118" t="n"/>
      <c r="M68" s="118" t="inlineStr">
        <is>
          <t>${income_main} != '19' and ${income_main} != '20'</t>
        </is>
      </c>
      <c r="N68" s="118" t="n"/>
      <c r="O68" s="118" t="n"/>
      <c r="P68" s="118" t="n"/>
      <c r="U68" s="77" t="inlineStr">
        <is>
          <t>no</t>
        </is>
      </c>
      <c r="W68" s="275" t="n">
        <v>40.04731750488281</v>
      </c>
      <c r="X68" s="170">
        <f>1</f>
        <v/>
      </c>
      <c r="Y68" s="276">
        <f>IF(W68&lt;&gt;"",W68*X68,"")</f>
        <v/>
      </c>
      <c r="Z68" s="276">
        <f>IF(AND(W68&lt;&gt;"",U68="yes"),W68*X68,"")</f>
        <v/>
      </c>
      <c r="AA68" s="76" t="n"/>
    </row>
    <row r="69" customFormat="1" s="77">
      <c r="A69" s="77" t="inlineStr">
        <is>
          <t>select_one continue</t>
        </is>
      </c>
      <c r="B69" s="77" t="inlineStr">
        <is>
          <t>income_main_amount_conf</t>
        </is>
      </c>
      <c r="C69" s="77" t="inlineStr">
        <is>
          <t>Can you confirm the amount of income you just stated is correct?</t>
        </is>
      </c>
      <c r="D69" s="83" t="n"/>
      <c r="E69" s="83" t="n"/>
      <c r="F69" s="77" t="inlineStr">
        <is>
          <t>[INSTRUCTIONS: IF THE RESPONDENT CONFIRMS THAT THE INCOME AMOUNT EARNED FROM THIS INCOME SOURCE OVER THE PAST 3 MONTH IS INDEED OVER 200000, CLICK ON CONTINUE. OTHERWISE, GO BACK AND CHANGE THE AMOUNT ENTERED.]</t>
        </is>
      </c>
      <c r="G69" s="83" t="n"/>
      <c r="H69" s="83" t="n"/>
      <c r="I69" s="118" t="inlineStr">
        <is>
          <t>false</t>
        </is>
      </c>
      <c r="J69" s="118" t="n"/>
      <c r="K69" s="118" t="n"/>
      <c r="L69" s="118" t="n"/>
      <c r="M69" s="118" t="inlineStr">
        <is>
          <t xml:space="preserve">${income_main_amount} &gt; 200000 and (${income_main} != '19' and ${income_main} != '20') </t>
        </is>
      </c>
      <c r="N69" s="118" t="n"/>
      <c r="O69" s="118" t="n"/>
      <c r="P69" s="118" t="n"/>
      <c r="U69" s="77" t="inlineStr">
        <is>
          <t>no</t>
        </is>
      </c>
      <c r="W69" s="275" t="n">
        <v>3.687011003494263</v>
      </c>
      <c r="X69" s="170">
        <f>1</f>
        <v/>
      </c>
      <c r="Y69" s="276">
        <f>IF(W69&lt;&gt;"",W69*X69,"")</f>
        <v/>
      </c>
      <c r="Z69" s="276">
        <f>IF(AND(W69&lt;&gt;"",U69="yes"),W69*X69,"")</f>
        <v/>
      </c>
      <c r="AA69" s="76" t="n"/>
    </row>
    <row r="70">
      <c r="D70" s="83" t="n"/>
      <c r="E70" s="83" t="n"/>
      <c r="G70" s="83" t="n"/>
      <c r="H70" s="83" t="n"/>
    </row>
    <row r="71" customFormat="1" s="80">
      <c r="A71" s="80" t="inlineStr">
        <is>
          <t>select_one gender_inc_1</t>
        </is>
      </c>
      <c r="B71" s="80" t="inlineStr">
        <is>
          <t>income_main_gender</t>
        </is>
      </c>
      <c r="C71" s="80" t="inlineStr">
        <is>
          <t xml:space="preserve">What is the gender of the household member(s) generating income from this source? </t>
        </is>
      </c>
      <c r="D71" s="101" t="n"/>
      <c r="E71" s="101" t="n"/>
      <c r="G71" s="101" t="n"/>
      <c r="H71" s="101" t="n"/>
      <c r="I71" s="119" t="inlineStr">
        <is>
          <t>true</t>
        </is>
      </c>
      <c r="J71" s="119" t="n"/>
      <c r="K71" s="119" t="n"/>
      <c r="L71" s="119" t="n"/>
      <c r="M71" s="119" t="inlineStr">
        <is>
          <t>${income_main} != '19' and ${income_main} != '20'</t>
        </is>
      </c>
      <c r="N71" s="119" t="n"/>
      <c r="O71" s="119" t="n"/>
      <c r="P71" s="119" t="n"/>
      <c r="W71" s="285" t="n"/>
      <c r="X71" s="219" t="n"/>
      <c r="Y71" s="286" t="n"/>
      <c r="Z71" s="286" t="n"/>
    </row>
    <row r="72" customFormat="1" s="80">
      <c r="A72" s="80" t="inlineStr">
        <is>
          <t>select_one gender_inc_2</t>
        </is>
      </c>
      <c r="B72" s="80" t="inlineStr">
        <is>
          <t>income_main_control</t>
        </is>
      </c>
      <c r="C72" s="80" t="inlineStr">
        <is>
          <t xml:space="preserve">Who controls the revenue that is earned from this source? </t>
        </is>
      </c>
      <c r="D72" s="101" t="n"/>
      <c r="E72" s="101" t="n"/>
      <c r="G72" s="101" t="n"/>
      <c r="H72" s="101" t="n"/>
      <c r="I72" s="119" t="inlineStr">
        <is>
          <t>true</t>
        </is>
      </c>
      <c r="J72" s="119" t="n"/>
      <c r="K72" s="119" t="n"/>
      <c r="L72" s="119" t="n"/>
      <c r="M72" s="119" t="inlineStr">
        <is>
          <t>${income_main} != '19' and ${income_main} != '20'</t>
        </is>
      </c>
      <c r="N72" s="119" t="n"/>
      <c r="O72" s="119" t="n"/>
      <c r="P72" s="119" t="n"/>
      <c r="W72" s="285" t="n"/>
      <c r="X72" s="219" t="n"/>
      <c r="Y72" s="286" t="n"/>
      <c r="Z72" s="286" t="n"/>
    </row>
    <row r="73">
      <c r="D73" s="88" t="n"/>
      <c r="E73" s="88" t="n"/>
      <c r="G73" s="89" t="n"/>
      <c r="H73" s="89" t="n"/>
      <c r="U73" s="45" t="inlineStr"/>
      <c r="W73" s="275" t="inlineStr"/>
      <c r="X73" s="170">
        <f>1</f>
        <v/>
      </c>
      <c r="Y73" s="276">
        <f>IF(W73&lt;&gt;"",W73*X73,"")</f>
        <v/>
      </c>
      <c r="Z73" s="276">
        <f>IF(AND(W73&lt;&gt;"",U73="yes"),W73*X73,"")</f>
        <v/>
      </c>
    </row>
    <row r="74" ht="28.8" customHeight="1">
      <c r="A74" s="80" t="inlineStr">
        <is>
          <t>select_one change</t>
        </is>
      </c>
      <c r="B74" s="80" t="inlineStr">
        <is>
          <t>income_main_comp</t>
        </is>
      </c>
      <c r="C74" s="81" t="inlineStr">
        <is>
          <t>Has your household's income from ${incomemain} changed in the last 3 months compared to the same period of last year?</t>
        </is>
      </c>
      <c r="D74" s="99" t="n"/>
      <c r="E74" s="99" t="n"/>
      <c r="F74" s="80" t="n"/>
      <c r="G74" s="101" t="n"/>
      <c r="H74" s="101" t="n"/>
      <c r="I74" s="119" t="inlineStr">
        <is>
          <t>true</t>
        </is>
      </c>
      <c r="J74" s="119" t="n"/>
      <c r="K74" s="119" t="n"/>
      <c r="L74" s="119" t="n"/>
      <c r="M74" s="119" t="inlineStr">
        <is>
          <t>${income_main} != '19' and ${income_main} != '20'</t>
        </is>
      </c>
      <c r="N74" s="119" t="n"/>
      <c r="O74" s="119" t="n"/>
      <c r="P74" s="119" t="n"/>
      <c r="U74" s="45" t="inlineStr">
        <is>
          <t>yes</t>
        </is>
      </c>
      <c r="W74" s="275" t="n">
        <v>27.24216651916504</v>
      </c>
      <c r="X74" s="170">
        <f>1</f>
        <v/>
      </c>
      <c r="Y74" s="276">
        <f>IF(W74&lt;&gt;"",W74*X74,"")</f>
        <v/>
      </c>
      <c r="Z74" s="276">
        <f>IF(AND(W74&lt;&gt;"",U74="yes"),W74*X74,"")</f>
        <v/>
      </c>
    </row>
    <row r="75">
      <c r="D75" s="88" t="n"/>
      <c r="E75" s="88" t="n"/>
      <c r="G75" s="89" t="n"/>
      <c r="H75" s="89" t="n"/>
      <c r="U75" s="45" t="inlineStr"/>
      <c r="W75" s="275" t="inlineStr"/>
      <c r="X75" s="170">
        <f>1</f>
        <v/>
      </c>
      <c r="Y75" s="276">
        <f>IF(W75&lt;&gt;"",W75*X75,"")</f>
        <v/>
      </c>
      <c r="Z75" s="276">
        <f>IF(AND(W75&lt;&gt;"",U75="yes"),W75*X75,"")</f>
        <v/>
      </c>
    </row>
    <row r="76" ht="28.8" customHeight="1">
      <c r="A76" s="80" t="inlineStr">
        <is>
          <t>select_one incomesource2</t>
        </is>
      </c>
      <c r="B76" s="80" t="inlineStr">
        <is>
          <t>income_sec</t>
        </is>
      </c>
      <c r="C76" s="81" t="inlineStr">
        <is>
          <t>What was your household's second most important source of income in the past 3 months?</t>
        </is>
      </c>
      <c r="D76" s="99" t="n"/>
      <c r="E76" s="99" t="n"/>
      <c r="F76" s="76" t="inlineStr">
        <is>
          <t>[INSTRUCTIONS: DON'T KNOW AND REFUSED OPTIONS SHOULD BE AVOIDED AS MUCH AS POSSIBLE.]</t>
        </is>
      </c>
      <c r="G76" s="101" t="n"/>
      <c r="H76" s="101" t="n"/>
      <c r="I76" s="119" t="inlineStr">
        <is>
          <t>true</t>
        </is>
      </c>
      <c r="J76" s="119" t="inlineStr">
        <is>
          <t>minimal</t>
        </is>
      </c>
      <c r="K76" s="119" t="n"/>
      <c r="L76" s="119" t="n"/>
      <c r="M76" s="119" t="inlineStr">
        <is>
          <t>${income_main} != '19' and ${income_main} != '20'</t>
        </is>
      </c>
      <c r="N76" s="119" t="inlineStr">
        <is>
          <t>not(selected(${income_main}, name))</t>
        </is>
      </c>
      <c r="O76" s="119" t="n"/>
      <c r="P76" s="119" t="n"/>
      <c r="U76" s="45" t="inlineStr">
        <is>
          <t>yes</t>
        </is>
      </c>
      <c r="W76" s="275" t="n">
        <v>25.30800437927246</v>
      </c>
      <c r="X76" s="170">
        <f>1</f>
        <v/>
      </c>
      <c r="Y76" s="276">
        <f>IF(W76&lt;&gt;"",W76*X76,"")</f>
        <v/>
      </c>
      <c r="Z76" s="276">
        <f>IF(AND(W76&lt;&gt;"",U76="yes"),W76*X76,"")</f>
        <v/>
      </c>
    </row>
    <row r="77">
      <c r="A77" s="80" t="inlineStr">
        <is>
          <t>calculate</t>
        </is>
      </c>
      <c r="B77" s="80" t="inlineStr">
        <is>
          <t>incomesec</t>
        </is>
      </c>
      <c r="C77" s="81" t="n"/>
      <c r="D77" s="99" t="n"/>
      <c r="E77" s="99" t="n"/>
      <c r="F77" s="76" t="n"/>
      <c r="G77" s="101" t="n"/>
      <c r="H77" s="101" t="n"/>
      <c r="I77" s="119" t="n"/>
      <c r="J77" s="119" t="n"/>
      <c r="K77" s="119" t="n"/>
      <c r="L77" s="119" t="n"/>
      <c r="M77" s="119" t="n"/>
      <c r="N77" s="119" t="n"/>
      <c r="O77" s="119" t="n"/>
      <c r="P77" s="119" t="inlineStr">
        <is>
          <t>jr:choice-name(${income_sec},'${income_sec}')</t>
        </is>
      </c>
      <c r="U77" s="45" t="inlineStr">
        <is>
          <t>yes</t>
        </is>
      </c>
      <c r="W77" s="275" t="n"/>
      <c r="X77" s="170">
        <f>1</f>
        <v/>
      </c>
      <c r="Y77" s="276">
        <f>IF(W77&lt;&gt;"",W77*X77,"")</f>
        <v/>
      </c>
      <c r="Z77" s="276">
        <f>IF(AND(W77&lt;&gt;"",U77="yes"),W77*X77,"")</f>
        <v/>
      </c>
    </row>
    <row r="78">
      <c r="A78" s="80" t="inlineStr">
        <is>
          <t>select_one yes_no</t>
        </is>
      </c>
      <c r="B78" s="80" t="inlineStr">
        <is>
          <t>income_sec_crop_check</t>
        </is>
      </c>
      <c r="C78" s="81" t="inlineStr">
        <is>
          <t>Are the crops sold also produced by you or anyone in your household?</t>
        </is>
      </c>
      <c r="D78" s="99" t="n"/>
      <c r="E78" s="99" t="n"/>
      <c r="F78" s="76" t="n"/>
      <c r="G78" s="101" t="n"/>
      <c r="H78" s="101" t="n"/>
      <c r="I78" s="119" t="inlineStr">
        <is>
          <t>true</t>
        </is>
      </c>
      <c r="J78" s="119" t="n"/>
      <c r="K78" s="119" t="n"/>
      <c r="L78" s="119" t="n"/>
      <c r="M78" s="119" t="inlineStr">
        <is>
          <t xml:space="preserve">${income_sec} = '1' or ${income_sec} = '2' or ${income_sec} = '3' </t>
        </is>
      </c>
      <c r="N78" s="119" t="n"/>
      <c r="O78" s="119" t="n"/>
      <c r="P78" s="119" t="n"/>
      <c r="U78" s="45" t="inlineStr">
        <is>
          <t>yes</t>
        </is>
      </c>
      <c r="W78" s="275" t="n">
        <v>0</v>
      </c>
      <c r="X78" s="170">
        <f>1</f>
        <v/>
      </c>
      <c r="Y78" s="276">
        <f>IF(W78&lt;&gt;"",W78*X78,"")</f>
        <v/>
      </c>
      <c r="Z78" s="276">
        <f>IF(AND(W78&lt;&gt;"",U78="yes"),W78*X78,"")</f>
        <v/>
      </c>
    </row>
    <row r="79" ht="28.8" customHeight="1">
      <c r="A79" s="80" t="inlineStr">
        <is>
          <t>select_one yes_no</t>
        </is>
      </c>
      <c r="B79" s="80" t="inlineStr">
        <is>
          <t>income_sec_ls_check</t>
        </is>
      </c>
      <c r="C79" s="81" t="inlineStr">
        <is>
          <t>Are the livestock or livestock products sold also produced by you or anyone in your household?</t>
        </is>
      </c>
      <c r="D79" s="99" t="n"/>
      <c r="E79" s="99" t="n"/>
      <c r="F79" s="76" t="n"/>
      <c r="G79" s="101" t="n"/>
      <c r="H79" s="101" t="n"/>
      <c r="I79" s="119" t="inlineStr">
        <is>
          <t>true</t>
        </is>
      </c>
      <c r="J79" s="119" t="n"/>
      <c r="K79" s="119" t="n"/>
      <c r="L79" s="119" t="n"/>
      <c r="M79" s="119" t="inlineStr">
        <is>
          <t>${income_sec} = '4'</t>
        </is>
      </c>
      <c r="N79" s="119" t="n"/>
      <c r="O79" s="119" t="n"/>
      <c r="P79" s="119" t="n"/>
      <c r="U79" s="45" t="inlineStr">
        <is>
          <t>yes</t>
        </is>
      </c>
      <c r="W79" s="275" t="n">
        <v>0</v>
      </c>
      <c r="X79" s="170">
        <f>1</f>
        <v/>
      </c>
      <c r="Y79" s="276">
        <f>IF(W79&lt;&gt;"",W79*X79,"")</f>
        <v/>
      </c>
      <c r="Z79" s="276">
        <f>IF(AND(W79&lt;&gt;"",U79="yes"),W79*X79,"")</f>
        <v/>
      </c>
    </row>
    <row r="80" ht="28.8" customHeight="1">
      <c r="A80" s="80" t="inlineStr">
        <is>
          <t>select_one yes_no</t>
        </is>
      </c>
      <c r="B80" s="80" t="inlineStr">
        <is>
          <t>income_sec_fish_check</t>
        </is>
      </c>
      <c r="C80" s="81" t="inlineStr">
        <is>
          <t>Are the fish or aquatic products sold also captured/harvested by you or anyone in your household?</t>
        </is>
      </c>
      <c r="D80" s="99" t="n"/>
      <c r="E80" s="99" t="n"/>
      <c r="F80" s="76" t="n"/>
      <c r="G80" s="101" t="n"/>
      <c r="H80" s="101" t="n"/>
      <c r="I80" s="119" t="inlineStr">
        <is>
          <t>true</t>
        </is>
      </c>
      <c r="J80" s="119" t="n"/>
      <c r="K80" s="119" t="n"/>
      <c r="L80" s="119" t="n"/>
      <c r="M80" s="119" t="inlineStr">
        <is>
          <t>${income_sec} = '6'</t>
        </is>
      </c>
      <c r="N80" s="119" t="n"/>
      <c r="O80" s="119" t="n"/>
      <c r="P80" s="119" t="n"/>
      <c r="U80" s="45" t="inlineStr">
        <is>
          <t>yes</t>
        </is>
      </c>
      <c r="W80" s="275" t="n">
        <v>0</v>
      </c>
      <c r="X80" s="170">
        <f>1</f>
        <v/>
      </c>
      <c r="Y80" s="276">
        <f>IF(W80&lt;&gt;"",W80*X80,"")</f>
        <v/>
      </c>
      <c r="Z80" s="276">
        <f>IF(AND(W80&lt;&gt;"",U80="yes"),W80*X80,"")</f>
        <v/>
      </c>
    </row>
    <row r="81">
      <c r="D81" s="88" t="n"/>
      <c r="E81" s="88" t="n"/>
      <c r="G81" s="89" t="n"/>
      <c r="H81" s="89" t="n"/>
      <c r="U81" s="45" t="inlineStr"/>
      <c r="W81" s="275" t="inlineStr"/>
      <c r="X81" s="170">
        <f>1</f>
        <v/>
      </c>
      <c r="Y81" s="276">
        <f>IF(W81&lt;&gt;"",W81*X81,"")</f>
        <v/>
      </c>
      <c r="Z81" s="276">
        <f>IF(AND(W81&lt;&gt;"",U81="yes"),W81*X81,"")</f>
        <v/>
      </c>
    </row>
    <row r="82" ht="28.8" customFormat="1" customHeight="1" s="77">
      <c r="A82" s="77" t="inlineStr">
        <is>
          <t>decimal</t>
        </is>
      </c>
      <c r="B82" s="77" t="inlineStr">
        <is>
          <t>income_sec_amount</t>
        </is>
      </c>
      <c r="C82" s="78" t="inlineStr">
        <is>
          <t>How much was earned (in Afghani) from your second main income source, ${incomesec}, in the past 3 months ?</t>
        </is>
      </c>
      <c r="D82" s="79" t="n"/>
      <c r="E82" s="79" t="n"/>
      <c r="F82" s="77" t="inlineStr">
        <is>
          <t>[INSTRUCTIONS: MAKE SURE THE INFORMATION IS RECORDED IN THE CORRECT CURRENCY. ENTER 888 FOR DON'T KNOW AND 999 FOR REFUSED.]</t>
        </is>
      </c>
      <c r="G82" s="83" t="n"/>
      <c r="H82" s="83" t="n"/>
      <c r="I82" s="118" t="inlineStr">
        <is>
          <t>true</t>
        </is>
      </c>
      <c r="J82" s="118" t="n"/>
      <c r="K82" s="118" t="inlineStr">
        <is>
          <t>. &gt; 500 or . = 888 or . = 999</t>
        </is>
      </c>
      <c r="L82" s="118" t="n"/>
      <c r="M82" s="118" t="inlineStr">
        <is>
          <t xml:space="preserve">${income_main} != '19' and ${income_main} != '20' and ${income_sec} != '19' and ${income_sec} != '20' and ${income_sec} != '21' </t>
        </is>
      </c>
      <c r="N82" s="118" t="n"/>
      <c r="O82" s="118" t="n"/>
      <c r="P82" s="118" t="n"/>
      <c r="U82" s="77" t="inlineStr">
        <is>
          <t>no</t>
        </is>
      </c>
      <c r="W82" s="275" t="n">
        <v>30.82847023010254</v>
      </c>
      <c r="X82" s="170">
        <f>1</f>
        <v/>
      </c>
      <c r="Y82" s="276">
        <f>IF(W82&lt;&gt;"",W82*X82,"")</f>
        <v/>
      </c>
      <c r="Z82" s="276">
        <f>IF(AND(W82&lt;&gt;"",U82="yes"),W82*X82,"")</f>
        <v/>
      </c>
      <c r="AA82" s="76" t="n"/>
    </row>
    <row r="83" customFormat="1" s="77">
      <c r="A83" s="77" t="inlineStr">
        <is>
          <t>select_one continue</t>
        </is>
      </c>
      <c r="B83" s="77" t="inlineStr">
        <is>
          <t>income_sec_amount_conf</t>
        </is>
      </c>
      <c r="C83" s="77" t="inlineStr">
        <is>
          <t>Can you confirm the amount of income you just stated is correct?</t>
        </is>
      </c>
      <c r="D83" s="79" t="n"/>
      <c r="E83" s="79" t="n"/>
      <c r="F83" s="77" t="inlineStr">
        <is>
          <t>[INSTRUCTIONS: IF THE RESPONDENT CONFIRMS THAT THE INCOME AMOUNT EARNED FROM THIS INCOME SOURCE OVER THE PAST 3 MONTH IS INDEED OVER 200000, CLICK ON CONTINUE. OTHERWISE, GO BACK AND CHANGE THE AMOUNT ENTERED.]</t>
        </is>
      </c>
      <c r="G83" s="83" t="n"/>
      <c r="H83" s="83" t="n"/>
      <c r="I83" s="118" t="inlineStr">
        <is>
          <t>false</t>
        </is>
      </c>
      <c r="J83" s="118" t="n"/>
      <c r="K83" s="118" t="n"/>
      <c r="L83" s="118" t="n"/>
      <c r="M83" s="118" t="inlineStr">
        <is>
          <t>${income_sec_amount} &gt; 200000 and (${income_main} != '19' and ${income_main} != '20' and ${income_sec} != '19' and ${income_sec} != '20' and ${income_sec} != '21')</t>
        </is>
      </c>
      <c r="N83" s="118" t="n"/>
      <c r="O83" s="118" t="n"/>
      <c r="P83" s="118" t="n"/>
      <c r="U83" s="77" t="inlineStr">
        <is>
          <t>no</t>
        </is>
      </c>
      <c r="W83" s="275" t="n">
        <v>2.29411768913269</v>
      </c>
      <c r="X83" s="170">
        <f>1</f>
        <v/>
      </c>
      <c r="Y83" s="276">
        <f>IF(W83&lt;&gt;"",W83*X83,"")</f>
        <v/>
      </c>
      <c r="Z83" s="276">
        <f>IF(AND(W83&lt;&gt;"",U83="yes"),W83*X83,"")</f>
        <v/>
      </c>
      <c r="AA83" s="76" t="n"/>
    </row>
    <row r="84" customFormat="1" s="77">
      <c r="C84" s="78" t="n"/>
      <c r="D84" s="79" t="n"/>
      <c r="E84" s="79" t="n"/>
      <c r="G84" s="83" t="n"/>
      <c r="H84" s="83" t="n"/>
      <c r="I84" s="118" t="n"/>
      <c r="J84" s="118" t="n"/>
      <c r="K84" s="118" t="n"/>
      <c r="L84" s="118" t="n"/>
      <c r="M84" s="118" t="n"/>
      <c r="N84" s="118" t="n"/>
      <c r="O84" s="118" t="n"/>
      <c r="P84" s="118" t="n"/>
      <c r="U84" s="77" t="inlineStr"/>
      <c r="W84" s="275" t="inlineStr"/>
      <c r="X84" s="170">
        <f>1</f>
        <v/>
      </c>
      <c r="Y84" s="276">
        <f>IF(W84&lt;&gt;"",W84*X84,"")</f>
        <v/>
      </c>
      <c r="Z84" s="276">
        <f>IF(AND(W84&lt;&gt;"",U84="yes"),W84*X84,"")</f>
        <v/>
      </c>
      <c r="AA84" s="76" t="n"/>
    </row>
    <row r="85" ht="28.8" customHeight="1">
      <c r="A85" s="80" t="inlineStr">
        <is>
          <t>select_one change</t>
        </is>
      </c>
      <c r="B85" s="80" t="inlineStr">
        <is>
          <t>income_sec_comp</t>
        </is>
      </c>
      <c r="C85" s="81" t="inlineStr">
        <is>
          <t>Has your household's income from ${incomesec} changed in the last 3 months compared to the same period of last year?</t>
        </is>
      </c>
      <c r="D85" s="99" t="n"/>
      <c r="E85" s="99" t="n"/>
      <c r="F85" s="80" t="n"/>
      <c r="G85" s="101" t="n"/>
      <c r="H85" s="101" t="n"/>
      <c r="I85" s="119" t="inlineStr">
        <is>
          <t>true</t>
        </is>
      </c>
      <c r="J85" s="119" t="n"/>
      <c r="K85" s="119" t="n"/>
      <c r="L85" s="119" t="n"/>
      <c r="M85" s="119" t="inlineStr">
        <is>
          <t xml:space="preserve">${income_main} != '19' and ${income_main} != '20' and ${income_sec} != '19' and ${income_sec} != '20' and ${income_sec} != '21' </t>
        </is>
      </c>
      <c r="N85" s="119" t="n"/>
      <c r="O85" s="119" t="n"/>
      <c r="P85" s="119" t="n"/>
      <c r="U85" s="45" t="inlineStr">
        <is>
          <t>yes</t>
        </is>
      </c>
      <c r="W85" s="275" t="n">
        <v>21.19325637817383</v>
      </c>
      <c r="X85" s="170">
        <f>1</f>
        <v/>
      </c>
      <c r="Y85" s="276">
        <f>IF(W85&lt;&gt;"",W85*X85,"")</f>
        <v/>
      </c>
      <c r="Z85" s="276">
        <f>IF(AND(W85&lt;&gt;"",U85="yes"),W85*X85,"")</f>
        <v/>
      </c>
    </row>
    <row r="86">
      <c r="D86" s="88" t="n"/>
      <c r="E86" s="88" t="n"/>
      <c r="G86" s="89" t="n"/>
      <c r="H86" s="89" t="n"/>
      <c r="M86" s="129" t="n"/>
      <c r="U86" s="45" t="inlineStr"/>
      <c r="W86" s="275" t="inlineStr"/>
      <c r="X86" s="170">
        <f>1</f>
        <v/>
      </c>
      <c r="Y86" s="276">
        <f>IF(W86&lt;&gt;"",W86*X86,"")</f>
        <v/>
      </c>
      <c r="Z86" s="276">
        <f>IF(AND(W86&lt;&gt;"",U86="yes"),W86*X86,"")</f>
        <v/>
      </c>
    </row>
    <row r="87">
      <c r="A87" s="80" t="inlineStr">
        <is>
          <t>select_one incomesource3</t>
        </is>
      </c>
      <c r="B87" s="80" t="inlineStr">
        <is>
          <t>income_third</t>
        </is>
      </c>
      <c r="C87" s="80" t="inlineStr">
        <is>
          <t>What was your household's third most important source of income in the past 3 months?</t>
        </is>
      </c>
      <c r="D87" s="101" t="n"/>
      <c r="E87" s="101" t="n"/>
      <c r="F87" s="76" t="inlineStr">
        <is>
          <t>[INSTRUCTIONS: DON'T KNOW AND REFUSED OPTIONS SHOULD BE AVOIDED AS MUCH AS POSSIBLE.]</t>
        </is>
      </c>
      <c r="G87" s="101" t="n"/>
      <c r="H87" s="101" t="n"/>
      <c r="I87" s="119" t="inlineStr">
        <is>
          <t>true</t>
        </is>
      </c>
      <c r="J87" s="119" t="inlineStr">
        <is>
          <t>minimal</t>
        </is>
      </c>
      <c r="K87" s="119" t="n"/>
      <c r="L87" s="119" t="n"/>
      <c r="M87" s="119" t="inlineStr">
        <is>
          <t xml:space="preserve">${income_main} != '19' and ${income_main} != '20' and ${income_sec} != '19' and ${income_sec} != '20' and ${income_sec} != '21' </t>
        </is>
      </c>
      <c r="N87" s="119" t="inlineStr">
        <is>
          <t>not(selected(${income_main}, name) or selected(${income_sec}, name))</t>
        </is>
      </c>
      <c r="O87" s="119" t="n"/>
      <c r="P87" s="119" t="n"/>
      <c r="U87" s="45" t="inlineStr">
        <is>
          <t>yes</t>
        </is>
      </c>
      <c r="W87" s="275" t="n">
        <v>20.22992706298828</v>
      </c>
      <c r="X87" s="170">
        <f>1</f>
        <v/>
      </c>
      <c r="Y87" s="276">
        <f>IF(W87&lt;&gt;"",W87*X87,"")</f>
        <v/>
      </c>
      <c r="Z87" s="276">
        <f>IF(AND(W87&lt;&gt;"",U87="yes"),W87*X87,"")</f>
        <v/>
      </c>
    </row>
    <row r="88">
      <c r="A88" s="80" t="inlineStr">
        <is>
          <t>calculate</t>
        </is>
      </c>
      <c r="B88" s="80" t="inlineStr">
        <is>
          <t>incomethird</t>
        </is>
      </c>
      <c r="C88" s="81" t="n"/>
      <c r="D88" s="99" t="n"/>
      <c r="E88" s="99" t="n"/>
      <c r="F88" s="76" t="n"/>
      <c r="G88" s="101" t="n"/>
      <c r="H88" s="101" t="n"/>
      <c r="I88" s="119" t="n"/>
      <c r="J88" s="119" t="n"/>
      <c r="K88" s="119" t="n"/>
      <c r="L88" s="119" t="n"/>
      <c r="M88" s="119" t="n"/>
      <c r="N88" s="119" t="n"/>
      <c r="O88" s="119" t="n"/>
      <c r="P88" s="119" t="inlineStr">
        <is>
          <t>jr:choice-name(${income_third},'${income_third}')</t>
        </is>
      </c>
      <c r="U88" s="45" t="inlineStr">
        <is>
          <t>yes</t>
        </is>
      </c>
      <c r="W88" s="275" t="n"/>
      <c r="X88" s="170">
        <f>1</f>
        <v/>
      </c>
      <c r="Y88" s="276">
        <f>IF(W88&lt;&gt;"",W88*X88,"")</f>
        <v/>
      </c>
      <c r="Z88" s="276">
        <f>IF(AND(W88&lt;&gt;"",U88="yes"),W88*X88,"")</f>
        <v/>
      </c>
    </row>
    <row r="89">
      <c r="A89" s="80" t="inlineStr">
        <is>
          <t>select_one yes_no</t>
        </is>
      </c>
      <c r="B89" s="80" t="inlineStr">
        <is>
          <t>income_third_crop_check</t>
        </is>
      </c>
      <c r="C89" s="81" t="inlineStr">
        <is>
          <t>Are the crops sold also produced by you or anyone in your household?</t>
        </is>
      </c>
      <c r="D89" s="99" t="n"/>
      <c r="E89" s="99" t="n"/>
      <c r="F89" s="76" t="n"/>
      <c r="G89" s="101" t="n"/>
      <c r="H89" s="101" t="n"/>
      <c r="I89" s="119" t="inlineStr">
        <is>
          <t>true</t>
        </is>
      </c>
      <c r="J89" s="119" t="n"/>
      <c r="K89" s="119" t="n"/>
      <c r="L89" s="119" t="n"/>
      <c r="M89" s="119" t="inlineStr">
        <is>
          <t xml:space="preserve">${income_third} = '1' or ${income_third} = '2' or ${income_third} = '3' </t>
        </is>
      </c>
      <c r="N89" s="119" t="n"/>
      <c r="O89" s="119" t="n"/>
      <c r="P89" s="119" t="n"/>
      <c r="U89" s="45" t="inlineStr">
        <is>
          <t>yes</t>
        </is>
      </c>
      <c r="W89" s="275" t="n">
        <v>0</v>
      </c>
      <c r="X89" s="170">
        <f>1</f>
        <v/>
      </c>
      <c r="Y89" s="276">
        <f>IF(W89&lt;&gt;"",W89*X89,"")</f>
        <v/>
      </c>
      <c r="Z89" s="276">
        <f>IF(AND(W89&lt;&gt;"",U89="yes"),W89*X89,"")</f>
        <v/>
      </c>
    </row>
    <row r="90" ht="28.8" customHeight="1">
      <c r="A90" s="80" t="inlineStr">
        <is>
          <t>select_one yes_no</t>
        </is>
      </c>
      <c r="B90" s="80" t="inlineStr">
        <is>
          <t>income_third_ls_check</t>
        </is>
      </c>
      <c r="C90" s="81" t="inlineStr">
        <is>
          <t>Are the livestock or livestock products sold also produced by you or anyone in your household?</t>
        </is>
      </c>
      <c r="D90" s="99" t="n"/>
      <c r="E90" s="99" t="n"/>
      <c r="F90" s="76" t="n"/>
      <c r="G90" s="101" t="n"/>
      <c r="H90" s="101" t="n"/>
      <c r="I90" s="119" t="inlineStr">
        <is>
          <t>true</t>
        </is>
      </c>
      <c r="J90" s="119" t="n"/>
      <c r="K90" s="119" t="n"/>
      <c r="L90" s="119" t="n"/>
      <c r="M90" s="119" t="inlineStr">
        <is>
          <t>${income_third} = '4'</t>
        </is>
      </c>
      <c r="N90" s="119" t="n"/>
      <c r="O90" s="119" t="n"/>
      <c r="P90" s="119" t="n"/>
      <c r="U90" s="45" t="inlineStr">
        <is>
          <t>yes</t>
        </is>
      </c>
      <c r="W90" s="275" t="n">
        <v>0</v>
      </c>
      <c r="X90" s="170">
        <f>1</f>
        <v/>
      </c>
      <c r="Y90" s="276">
        <f>IF(W90&lt;&gt;"",W90*X90,"")</f>
        <v/>
      </c>
      <c r="Z90" s="276">
        <f>IF(AND(W90&lt;&gt;"",U90="yes"),W90*X90,"")</f>
        <v/>
      </c>
    </row>
    <row r="91" ht="28.8" customHeight="1">
      <c r="A91" s="80" t="inlineStr">
        <is>
          <t>select_one yes_no</t>
        </is>
      </c>
      <c r="B91" s="80" t="inlineStr">
        <is>
          <t>income_third_fish_check</t>
        </is>
      </c>
      <c r="C91" s="81" t="inlineStr">
        <is>
          <t>Are the fish or aquatic products sold also captured/harvested by you or anyone in your household?</t>
        </is>
      </c>
      <c r="D91" s="99" t="n"/>
      <c r="E91" s="99" t="n"/>
      <c r="F91" s="76" t="n"/>
      <c r="G91" s="101" t="n"/>
      <c r="H91" s="101" t="n"/>
      <c r="I91" s="119" t="inlineStr">
        <is>
          <t>true</t>
        </is>
      </c>
      <c r="J91" s="119" t="n"/>
      <c r="K91" s="119" t="n"/>
      <c r="L91" s="119" t="n"/>
      <c r="M91" s="119" t="inlineStr">
        <is>
          <t>${income_third} = '6'</t>
        </is>
      </c>
      <c r="N91" s="119" t="n"/>
      <c r="O91" s="119" t="n"/>
      <c r="P91" s="119" t="n"/>
      <c r="U91" s="45" t="inlineStr">
        <is>
          <t>yes</t>
        </is>
      </c>
      <c r="W91" s="275" t="n">
        <v>0</v>
      </c>
      <c r="X91" s="170">
        <f>1</f>
        <v/>
      </c>
      <c r="Y91" s="276">
        <f>IF(W91&lt;&gt;"",W91*X91,"")</f>
        <v/>
      </c>
      <c r="Z91" s="276">
        <f>IF(AND(W91&lt;&gt;"",U91="yes"),W91*X91,"")</f>
        <v/>
      </c>
    </row>
    <row r="92">
      <c r="D92" s="88" t="n"/>
      <c r="E92" s="88" t="n"/>
      <c r="G92" s="89" t="n"/>
      <c r="H92" s="89" t="n"/>
      <c r="U92" s="45" t="inlineStr"/>
      <c r="W92" s="275" t="inlineStr"/>
      <c r="X92" s="170">
        <f>1</f>
        <v/>
      </c>
      <c r="Y92" s="276">
        <f>IF(W92&lt;&gt;"",W92*X92,"")</f>
        <v/>
      </c>
      <c r="Z92" s="276">
        <f>IF(AND(W92&lt;&gt;"",U92="yes"),W92*X92,"")</f>
        <v/>
      </c>
    </row>
    <row r="93" ht="28.8" customFormat="1" customHeight="1" s="77">
      <c r="A93" s="77" t="inlineStr">
        <is>
          <t>decimal</t>
        </is>
      </c>
      <c r="B93" s="77" t="inlineStr">
        <is>
          <t>income_third_amount</t>
        </is>
      </c>
      <c r="C93" s="78" t="inlineStr">
        <is>
          <t>How much was earned (in Afghani) from your third main income source, ${incomethird}, in the past 3 months ?</t>
        </is>
      </c>
      <c r="D93" s="79" t="n"/>
      <c r="E93" s="79" t="n"/>
      <c r="F93" s="77" t="inlineStr">
        <is>
          <t>[INSTRUCTIONS: MAKE SURE THE INFORMATION IS RECORDED IN THE CORRECT CURRENCY. ENTER 888 FOR DON'T KNOW AND 999 FOR REFUSED.]</t>
        </is>
      </c>
      <c r="G93" s="83" t="n"/>
      <c r="H93" s="83" t="n"/>
      <c r="I93" s="118" t="inlineStr">
        <is>
          <t>true</t>
        </is>
      </c>
      <c r="J93" s="118" t="n"/>
      <c r="K93" s="118" t="inlineStr">
        <is>
          <t>. &gt; 500 or . = 888 or . = 999</t>
        </is>
      </c>
      <c r="L93" s="118" t="n"/>
      <c r="M93" s="118" t="inlineStr">
        <is>
          <t xml:space="preserve">${income_main} != '19' and ${income_main} != '20' and ${income_sec} != '19' and ${income_sec} != '20' and ${income_sec} != '21' and ${income_third} != '19' and ${income_third} != '20' and ${income_third} != '21' </t>
        </is>
      </c>
      <c r="N93" s="118" t="n"/>
      <c r="O93" s="118" t="n"/>
      <c r="P93" s="118" t="n"/>
      <c r="U93" s="77" t="inlineStr">
        <is>
          <t>no</t>
        </is>
      </c>
      <c r="W93" s="275" t="n">
        <v>29.42983245849609</v>
      </c>
      <c r="X93" s="170">
        <f>1</f>
        <v/>
      </c>
      <c r="Y93" s="276">
        <f>IF(W93&lt;&gt;"",W93*X93,"")</f>
        <v/>
      </c>
      <c r="Z93" s="276">
        <f>IF(AND(W93&lt;&gt;"",U93="yes"),W93*X93,"")</f>
        <v/>
      </c>
      <c r="AA93" s="76" t="n"/>
    </row>
    <row r="94" customFormat="1" s="77">
      <c r="A94" s="77" t="inlineStr">
        <is>
          <t>select_one continue</t>
        </is>
      </c>
      <c r="B94" s="77" t="inlineStr">
        <is>
          <t>income_third_amount_conf</t>
        </is>
      </c>
      <c r="C94" s="77" t="inlineStr">
        <is>
          <t>Can you confirm the amount of income you just stated is correct?</t>
        </is>
      </c>
      <c r="D94" s="79" t="n"/>
      <c r="E94" s="79" t="n"/>
      <c r="F94" s="77" t="inlineStr">
        <is>
          <t>[INSTRUCTIONS: IF THE RESPONDENT CONFIRMS THAT THE INCOME AMOUNT EARNED FROM THIS INCOME SOURCE OVER THE PAST 3 MONTH IS INDEED OVER 200000, CLICK ON CONTINUE. OTHERWISE, GO BACK AND CHANGE THE AMOUNT ENTERED.]</t>
        </is>
      </c>
      <c r="G94" s="105" t="n"/>
      <c r="H94" s="105" t="n"/>
      <c r="I94" s="118" t="inlineStr">
        <is>
          <t>false</t>
        </is>
      </c>
      <c r="J94" s="118" t="n"/>
      <c r="K94" s="118" t="n"/>
      <c r="L94" s="118" t="n"/>
      <c r="M94" s="132" t="inlineStr">
        <is>
          <t>${income_third_amount} &gt; 200000 and (${income_main} != '19' and ${income_main} != '20' and ${income_sec} != '19' and ${income_sec} != '20' and ${income_sec} != '21' and ${income_third} != '19' and ${income_third} != '20' and ${income_third} != '21' )</t>
        </is>
      </c>
      <c r="N94" s="118" t="n"/>
      <c r="O94" s="118" t="n"/>
      <c r="P94" s="118" t="n"/>
      <c r="U94" s="77" t="inlineStr">
        <is>
          <t>no</t>
        </is>
      </c>
      <c r="W94" s="275" t="n">
        <v>1.555555582046509</v>
      </c>
      <c r="X94" s="170">
        <f>1</f>
        <v/>
      </c>
      <c r="Y94" s="276">
        <f>IF(W94&lt;&gt;"",W94*X94,"")</f>
        <v/>
      </c>
      <c r="Z94" s="276">
        <f>IF(AND(W94&lt;&gt;"",U94="yes"),W94*X94,"")</f>
        <v/>
      </c>
      <c r="AA94" s="76" t="n"/>
    </row>
    <row r="95" customFormat="1" s="77">
      <c r="C95" s="78" t="n"/>
      <c r="D95" s="79" t="n"/>
      <c r="E95" s="79" t="n"/>
      <c r="G95" s="83" t="n"/>
      <c r="H95" s="83" t="n"/>
      <c r="I95" s="118" t="n"/>
      <c r="J95" s="118" t="n"/>
      <c r="K95" s="118" t="n"/>
      <c r="L95" s="118" t="n"/>
      <c r="M95" s="118" t="n"/>
      <c r="N95" s="118" t="n"/>
      <c r="O95" s="118" t="n"/>
      <c r="P95" s="118" t="n"/>
      <c r="U95" s="77" t="inlineStr"/>
      <c r="W95" s="275" t="inlineStr"/>
      <c r="X95" s="170">
        <f>1</f>
        <v/>
      </c>
      <c r="Y95" s="276">
        <f>IF(W95&lt;&gt;"",W95*X95,"")</f>
        <v/>
      </c>
      <c r="Z95" s="276">
        <f>IF(AND(W95&lt;&gt;"",U95="yes"),W95*X95,"")</f>
        <v/>
      </c>
      <c r="AA95" s="76" t="n"/>
    </row>
    <row r="96" ht="28.8" customHeight="1">
      <c r="A96" s="80" t="inlineStr">
        <is>
          <t>select_one change</t>
        </is>
      </c>
      <c r="B96" s="80" t="inlineStr">
        <is>
          <t>income_third_comp</t>
        </is>
      </c>
      <c r="C96" s="81" t="inlineStr">
        <is>
          <t>Has your household's income from ${incomethird} changed in the last 3 months compared to the same period of last year?</t>
        </is>
      </c>
      <c r="D96" s="99" t="n"/>
      <c r="E96" s="99" t="n"/>
      <c r="F96" s="80" t="n"/>
      <c r="G96" s="101" t="n"/>
      <c r="H96" s="101" t="n"/>
      <c r="I96" s="119" t="inlineStr">
        <is>
          <t>true</t>
        </is>
      </c>
      <c r="J96" s="119" t="n"/>
      <c r="K96" s="119" t="n"/>
      <c r="L96" s="119" t="n"/>
      <c r="M96" s="119" t="inlineStr">
        <is>
          <t xml:space="preserve">${income_main} != '19' and ${income_main} != '20' and ${income_sec} != '19' and ${income_sec} != '20' and ${income_sec} != '21' and ${income_third} != '19' and ${income_third} != '20' and ${income_third} != '21' </t>
        </is>
      </c>
      <c r="N96" s="119" t="n"/>
      <c r="O96" s="119" t="n"/>
      <c r="P96" s="119" t="n"/>
      <c r="U96" s="45" t="inlineStr">
        <is>
          <t>yes</t>
        </is>
      </c>
      <c r="W96" s="275" t="n">
        <v>16.34839630126953</v>
      </c>
      <c r="X96" s="170">
        <f>1</f>
        <v/>
      </c>
      <c r="Y96" s="276">
        <f>IF(W96&lt;&gt;"",W96*X96,"")</f>
        <v/>
      </c>
      <c r="Z96" s="276">
        <f>IF(AND(W96&lt;&gt;"",U96="yes"),W96*X96,"")</f>
        <v/>
      </c>
    </row>
    <row r="97" customFormat="1" s="77">
      <c r="C97" s="78" t="n"/>
      <c r="D97" s="79" t="n"/>
      <c r="E97" s="79" t="n"/>
      <c r="G97" s="83" t="n"/>
      <c r="H97" s="83" t="n"/>
      <c r="I97" s="118" t="n"/>
      <c r="J97" s="118" t="n"/>
      <c r="K97" s="118" t="n"/>
      <c r="L97" s="118" t="n"/>
      <c r="M97" s="118" t="n"/>
      <c r="N97" s="118" t="n"/>
      <c r="O97" s="118" t="n"/>
      <c r="P97" s="118" t="n"/>
      <c r="U97" s="77" t="inlineStr"/>
      <c r="W97" s="275" t="inlineStr"/>
      <c r="X97" s="170">
        <f>1</f>
        <v/>
      </c>
      <c r="Y97" s="276">
        <f>IF(W97&lt;&gt;"",W97*X97,"")</f>
        <v/>
      </c>
      <c r="Z97" s="276">
        <f>IF(AND(W97&lt;&gt;"",U97="yes"),W97*X97,"")</f>
        <v/>
      </c>
      <c r="AA97" s="76" t="n"/>
    </row>
    <row r="98" ht="43.2" customHeight="1">
      <c r="A98" s="80" t="inlineStr">
        <is>
          <t>select_multiple shock</t>
        </is>
      </c>
      <c r="B98" s="80" t="inlineStr">
        <is>
          <t>shock</t>
        </is>
      </c>
      <c r="C98" s="81" t="inlineStr">
        <is>
          <t xml:space="preserve">Has your household or community faced any particular disaster or crisis affecting your household's ability to raise an income and/or to produce food for self consumption in the last 3 months, and if so, which ones? </t>
        </is>
      </c>
      <c r="D98" s="99" t="n"/>
      <c r="E98" s="99" t="n"/>
      <c r="F98" s="80" t="inlineStr">
        <is>
          <t>[INSTRUCTIONS: SELECT RELEVANT SHOCKS EXPERIENCED BY THE HOUSEHOLD. MULTIPLE RESPONSES POSSIBLE. REFER TO ECONOMIC SHOCKS, CROP AND LIVESTOCK SHOCKS, INTRA-HOUSEHOLD SHOCK, NATURAL HAZARDS AND HUMAN-INDUCED HAZARDS.]</t>
        </is>
      </c>
      <c r="G98" s="101" t="n"/>
      <c r="H98" s="101" t="n"/>
      <c r="I98" s="119" t="inlineStr">
        <is>
          <t>true</t>
        </is>
      </c>
      <c r="J98" s="119" t="n"/>
      <c r="K98" s="119" t="inlineStr">
        <is>
          <t>if(selected(.,'noshock') or selected(.,'dk') or selected(.,'ref'), count-selected(.) = 1, count-selected(.) &gt;= 1)</t>
        </is>
      </c>
      <c r="L98" s="119" t="n"/>
      <c r="M98" s="119" t="n"/>
      <c r="N98" s="119" t="n"/>
      <c r="O98" s="119" t="n"/>
      <c r="P98" s="119" t="n"/>
      <c r="U98" s="45" t="inlineStr">
        <is>
          <t>yes</t>
        </is>
      </c>
      <c r="W98" s="275" t="n">
        <v>46.24752807617188</v>
      </c>
      <c r="X98" s="170">
        <f>1</f>
        <v/>
      </c>
      <c r="Y98" s="276">
        <f>IF(W98&lt;&gt;"",W98*X98,"")</f>
        <v/>
      </c>
      <c r="Z98" s="276">
        <f>IF(AND(W98&lt;&gt;"",U98="yes"),W98*X98,"")</f>
        <v/>
      </c>
    </row>
    <row r="99">
      <c r="D99" s="88" t="n"/>
      <c r="E99" s="88" t="n"/>
      <c r="G99" s="89" t="n"/>
      <c r="H99" s="89" t="n"/>
      <c r="U99" s="45" t="inlineStr"/>
      <c r="W99" s="275" t="inlineStr"/>
      <c r="X99" s="170">
        <f>1</f>
        <v/>
      </c>
      <c r="Y99" s="276">
        <f>IF(W99&lt;&gt;"",W99*X99,"")</f>
        <v/>
      </c>
      <c r="Z99" s="276">
        <f>IF(AND(W99&lt;&gt;"",U99="yes"),W99*X99,"")</f>
        <v/>
      </c>
    </row>
    <row r="100" ht="43.2" customFormat="1" customHeight="1" s="77">
      <c r="A100" s="77" t="inlineStr">
        <is>
          <t>text</t>
        </is>
      </c>
      <c r="B100" s="77" t="inlineStr">
        <is>
          <t>hh_explanation</t>
        </is>
      </c>
      <c r="C100" s="78" t="inlineStr">
        <is>
          <t>If the household was affected by a major recent shock as indicated in this assessment [for example, an earthquake], what are the [expected] consequences for your household, in your own words?</t>
        </is>
      </c>
      <c r="D100" s="79" t="n"/>
      <c r="E100" s="79" t="n"/>
      <c r="F100" s="77" t="inlineStr">
        <is>
          <t>[INSTRUCTIONS: RECORD IN FEW WORDS THE MAIN CONSEQUENCE OF THE RECENT SHOCKS. ENTER 888 FOR DON'T KNOW AND 999 FOR REFUSED.]</t>
        </is>
      </c>
      <c r="G100" s="83" t="n"/>
      <c r="H100" s="83" t="n"/>
      <c r="I100" s="118" t="inlineStr">
        <is>
          <t>false</t>
        </is>
      </c>
      <c r="J100" s="118" t="n"/>
      <c r="K100" s="124" t="n"/>
      <c r="L100" s="118" t="n"/>
      <c r="M100" s="118" t="inlineStr">
        <is>
          <t>${shock} != 'noshock' and ${shock} != 'dk' and ${shock} != 'ref'</t>
        </is>
      </c>
      <c r="N100" s="118" t="n"/>
      <c r="O100" s="118" t="n"/>
      <c r="P100" s="118" t="n"/>
      <c r="U100" s="77" t="inlineStr">
        <is>
          <t>no</t>
        </is>
      </c>
      <c r="W100" s="275" t="n">
        <v>26.11878204345703</v>
      </c>
      <c r="X100" s="170">
        <f>1</f>
        <v/>
      </c>
      <c r="Y100" s="276">
        <f>IF(W100&lt;&gt;"",W100*X100,"")</f>
        <v/>
      </c>
      <c r="Z100" s="276">
        <f>IF(X100&lt;&gt;"",X100*Y100,"")</f>
        <v/>
      </c>
      <c r="AA100" s="76" t="n"/>
    </row>
    <row r="101">
      <c r="D101" s="88" t="n"/>
      <c r="E101" s="88" t="n"/>
      <c r="G101" s="89" t="n"/>
      <c r="H101" s="89" t="n"/>
      <c r="M101" s="129" t="n"/>
      <c r="U101" s="45" t="inlineStr"/>
      <c r="W101" s="275" t="inlineStr"/>
      <c r="X101" s="170">
        <f>1</f>
        <v/>
      </c>
      <c r="Y101" s="276">
        <f>IF(W101&lt;&gt;"",W101*X101,"")</f>
        <v/>
      </c>
      <c r="Z101" s="276">
        <f>IF(AND(W101&lt;&gt;"",U101="yes"),W101*X101,"")</f>
        <v/>
      </c>
    </row>
    <row r="102">
      <c r="A102" s="249" t="inlineStr">
        <is>
          <t>select_one yes_no</t>
        </is>
      </c>
      <c r="B102" s="248" t="inlineStr">
        <is>
          <t>o_affected_flood</t>
        </is>
      </c>
      <c r="C102" s="247" t="inlineStr">
        <is>
          <t>Were you affected by the floods in your province in the last three months?</t>
        </is>
      </c>
      <c r="D102" s="247" t="n"/>
      <c r="E102" s="247" t="n"/>
      <c r="F102" s="246" t="n"/>
      <c r="G102" s="246" t="n"/>
      <c r="H102" s="246" t="n"/>
      <c r="I102" s="249" t="inlineStr">
        <is>
          <t>true</t>
        </is>
      </c>
      <c r="J102" s="248" t="n"/>
      <c r="K102" s="248" t="n"/>
      <c r="L102" s="248" t="n"/>
      <c r="M102" s="249" t="n"/>
      <c r="N102" s="248" t="n"/>
      <c r="O102" s="248" t="n"/>
      <c r="P102" s="248" t="n"/>
      <c r="Q102" s="246" t="n"/>
      <c r="R102" s="246" t="n"/>
      <c r="S102" s="246" t="n"/>
      <c r="T102" s="246" t="n"/>
      <c r="U102" s="246" t="n"/>
      <c r="V102" s="246" t="n"/>
      <c r="W102" s="279" t="n">
        <v>10</v>
      </c>
      <c r="X102" s="251" t="n">
        <v>1</v>
      </c>
      <c r="Y102" s="280">
        <f>IF(W102&lt;&gt;"",W102*X102,"")</f>
        <v/>
      </c>
      <c r="Z102" s="276">
        <f>IF(X102&lt;&gt;"",X102*Y102,"")</f>
        <v/>
      </c>
    </row>
    <row r="103">
      <c r="A103" s="249" t="inlineStr">
        <is>
          <t>select_one floodsaseverity</t>
        </is>
      </c>
      <c r="B103" s="248" t="inlineStr">
        <is>
          <t>o_flood_severity</t>
        </is>
      </c>
      <c r="C103" s="247" t="inlineStr">
        <is>
          <t>How severe the floods were in your area?</t>
        </is>
      </c>
      <c r="D103" s="247" t="n"/>
      <c r="E103" s="247" t="n"/>
      <c r="F103" s="246" t="n"/>
      <c r="G103" s="246" t="n"/>
      <c r="H103" s="246" t="n"/>
      <c r="I103" s="249" t="inlineStr">
        <is>
          <t>true</t>
        </is>
      </c>
      <c r="J103" s="248" t="n"/>
      <c r="K103" s="248" t="n"/>
      <c r="L103" s="248" t="n"/>
      <c r="M103" s="249" t="inlineStr">
        <is>
          <t xml:space="preserve">${affected_flood} = '1' </t>
        </is>
      </c>
      <c r="N103" s="248" t="n"/>
      <c r="O103" s="248" t="n"/>
      <c r="P103" s="248" t="n"/>
      <c r="Q103" s="246" t="n"/>
      <c r="R103" s="246" t="n"/>
      <c r="S103" s="246" t="n"/>
      <c r="T103" s="246" t="n"/>
      <c r="U103" s="246" t="n"/>
      <c r="V103" s="246" t="n"/>
      <c r="W103" s="279" t="n">
        <v>10</v>
      </c>
      <c r="X103" s="251" t="n">
        <v>1</v>
      </c>
      <c r="Y103" s="280">
        <f>IF(W103&lt;&gt;"",W103*X103,"")</f>
        <v/>
      </c>
      <c r="Z103" s="276" t="n"/>
    </row>
    <row r="104" ht="43.2" customHeight="1">
      <c r="A104" s="249" t="inlineStr">
        <is>
          <t>select_one yes_no</t>
        </is>
      </c>
      <c r="B104" s="248" t="inlineStr">
        <is>
          <t>o_access_market</t>
        </is>
      </c>
      <c r="C104" s="247" t="inlineStr">
        <is>
          <t>Did the market from which you buy most of your food [rice, lentil, cooking oil] and agricultural inputs [seed, fertilizer, animal feed] or where sell your agricultural produce remain functional during the floods?</t>
        </is>
      </c>
      <c r="D104" s="247" t="n"/>
      <c r="E104" s="247" t="n"/>
      <c r="F104" s="246" t="n"/>
      <c r="G104" s="246" t="n"/>
      <c r="H104" s="246" t="n"/>
      <c r="I104" s="249" t="inlineStr">
        <is>
          <t>true</t>
        </is>
      </c>
      <c r="J104" s="248" t="n"/>
      <c r="K104" s="248" t="n"/>
      <c r="L104" s="248" t="n"/>
      <c r="M104" s="249" t="inlineStr">
        <is>
          <t xml:space="preserve">${affected_flood} = '1' </t>
        </is>
      </c>
      <c r="N104" s="248" t="n"/>
      <c r="O104" s="248" t="n"/>
      <c r="P104" s="248" t="n"/>
      <c r="Q104" s="246" t="n"/>
      <c r="R104" s="246" t="n"/>
      <c r="S104" s="246" t="n"/>
      <c r="T104" s="246" t="n"/>
      <c r="U104" s="246" t="n"/>
      <c r="V104" s="246" t="n"/>
      <c r="W104" s="279" t="n">
        <v>10</v>
      </c>
      <c r="X104" s="251" t="n">
        <v>1</v>
      </c>
      <c r="Y104" s="280">
        <f>IF(W104&lt;&gt;"",W104*X104,"")</f>
        <v/>
      </c>
      <c r="Z104" s="276" t="n"/>
    </row>
    <row r="105" ht="15" customHeight="1" thickBot="1">
      <c r="A105" s="97" t="inlineStr">
        <is>
          <t>end_group</t>
        </is>
      </c>
      <c r="B105" s="97" t="n"/>
      <c r="C105" s="98" t="n"/>
      <c r="D105" s="92" t="n"/>
      <c r="E105" s="92" t="n"/>
      <c r="F105" s="97" t="n"/>
      <c r="G105" s="93" t="n"/>
      <c r="H105" s="93" t="n"/>
      <c r="I105" s="128" t="n"/>
      <c r="J105" s="128" t="n"/>
      <c r="K105" s="128" t="n"/>
      <c r="L105" s="128" t="n"/>
      <c r="M105" s="128" t="n"/>
      <c r="N105" s="128" t="n"/>
      <c r="O105" s="128" t="n"/>
      <c r="P105" s="128" t="n"/>
      <c r="U105" s="45" t="inlineStr"/>
      <c r="W105" s="275" t="inlineStr"/>
      <c r="X105" s="76" t="n"/>
      <c r="Y105" s="276">
        <f>IF(W105&lt;&gt;"",W105*X105,"")</f>
        <v/>
      </c>
      <c r="Z105" s="276">
        <f>IF(AND(W105&lt;&gt;"",U105="yes"),W105*X105,"")</f>
        <v/>
      </c>
    </row>
    <row r="106" ht="15" customFormat="1" customHeight="1" s="73" thickTop="1">
      <c r="A106" s="70" t="inlineStr">
        <is>
          <t>begin_group</t>
        </is>
      </c>
      <c r="B106" s="70" t="inlineStr">
        <is>
          <t>CropProduction_group</t>
        </is>
      </c>
      <c r="C106" s="94" t="inlineStr">
        <is>
          <t>CROP PRODUCTION</t>
        </is>
      </c>
      <c r="D106" s="71" t="n"/>
      <c r="E106" s="71" t="n"/>
      <c r="F106" s="70" t="n"/>
      <c r="G106" s="72" t="n"/>
      <c r="H106" s="72" t="n"/>
      <c r="I106" s="122" t="inlineStr">
        <is>
          <t>false</t>
        </is>
      </c>
      <c r="J106" s="122" t="n"/>
      <c r="K106" s="122" t="n"/>
      <c r="L106" s="122" t="n"/>
      <c r="M106" s="122" t="inlineStr">
        <is>
          <t>${resp_agree} = '1' and (${hh_agricactivity}='1' or ${hh_agricactivity} = '3' or ${income_main_crop_check}='1' or ${income_sec_crop_check}='1' or ${income_third_crop_check}='1')</t>
        </is>
      </c>
      <c r="N106" s="122" t="n"/>
      <c r="O106" s="122" t="n"/>
      <c r="P106" s="122" t="n"/>
      <c r="U106" s="45" t="inlineStr">
        <is>
          <t>yes</t>
        </is>
      </c>
      <c r="W106" s="275" t="n"/>
      <c r="X106" s="74" t="n"/>
      <c r="Y106" s="276">
        <f>IF(W106&lt;&gt;"",W106*X106,"")</f>
        <v/>
      </c>
      <c r="Z106" s="276">
        <f>IF(AND(W106&lt;&gt;"",U106="yes"),W106*X106,"")</f>
        <v/>
      </c>
      <c r="AA106" s="74" t="n"/>
    </row>
    <row r="107" ht="49.05" customFormat="1" customHeight="1" s="46">
      <c r="A107" s="44" t="inlineStr">
        <is>
          <t>note</t>
        </is>
      </c>
      <c r="B107" s="44" t="inlineStr">
        <is>
          <t>crp_intro</t>
        </is>
      </c>
      <c r="C107" s="44" t="inlineStr">
        <is>
          <t>We will now ask you some questions about crop production which apply to you and anyone in your household that is involved in crop production or sales. All questions refer to the crops grown during Spring/Ongoing.</t>
        </is>
      </c>
      <c r="D107" s="88" t="n"/>
      <c r="E107" s="88" t="n"/>
      <c r="F107" s="44" t="n"/>
      <c r="G107" s="88" t="n"/>
      <c r="H107" s="88" t="n"/>
      <c r="I107" s="43" t="n"/>
      <c r="J107" s="43" t="n"/>
      <c r="K107" s="43" t="n"/>
      <c r="L107" s="43" t="n"/>
      <c r="M107" s="43" t="n"/>
      <c r="N107" s="43" t="n"/>
      <c r="O107" s="43" t="n"/>
      <c r="P107" s="43" t="n"/>
      <c r="U107" s="46" t="inlineStr">
        <is>
          <t>yes</t>
        </is>
      </c>
      <c r="W107" s="281" t="n">
        <v>7.5</v>
      </c>
      <c r="X107" s="169">
        <f>'Additional information'!$D$18</f>
        <v/>
      </c>
      <c r="Y107" s="282">
        <f>IF(W107&lt;&gt;"",W107*X107,"")</f>
        <v/>
      </c>
      <c r="Z107" s="282">
        <f>IF(AND(W107&lt;&gt;"",U107="yes"),W107*X107,"")</f>
        <v/>
      </c>
      <c r="AA107" s="47" t="n"/>
    </row>
    <row r="108">
      <c r="D108" s="88" t="n"/>
      <c r="E108" s="88" t="n"/>
      <c r="G108" s="89" t="n"/>
      <c r="H108" s="89" t="n"/>
      <c r="U108" s="45" t="inlineStr"/>
      <c r="W108" s="275" t="inlineStr"/>
      <c r="X108" s="170">
        <f>'Additional information'!$D$18</f>
        <v/>
      </c>
      <c r="Y108" s="276">
        <f>IF(W108&lt;&gt;"",W108*X108,"")</f>
        <v/>
      </c>
      <c r="Z108" s="276">
        <f>IF(AND(W108&lt;&gt;"",U108="yes"),W108*X108,"")</f>
        <v/>
      </c>
    </row>
    <row r="109" customFormat="1" s="76">
      <c r="A109" s="80" t="inlineStr">
        <is>
          <t>decimal</t>
        </is>
      </c>
      <c r="B109" s="80" t="inlineStr">
        <is>
          <t>crp_landsize_num</t>
        </is>
      </c>
      <c r="C109" s="81" t="inlineStr">
        <is>
          <t>What is the total size of the land you can cultivate?</t>
        </is>
      </c>
      <c r="D109" s="99" t="n"/>
      <c r="E109" s="99" t="n"/>
      <c r="F109" s="80" t="inlineStr">
        <is>
          <t>[INSTRUCTIONS: RECORD THE TOTAL LAND SIZE PROVIDED BY THE RESPONDENT. WRITE 888 FOR DON'T KNOW AND 999 FOR REFUSED. MEASUREMENT UNIT WILL BE SPECIFIED IN THE FOLLOWING QUESTION.]</t>
        </is>
      </c>
      <c r="G109" s="101" t="n"/>
      <c r="H109" s="101" t="n"/>
      <c r="I109" s="119" t="inlineStr">
        <is>
          <t>true</t>
        </is>
      </c>
      <c r="J109" s="119" t="n"/>
      <c r="K109" s="119" t="inlineStr">
        <is>
          <t>. &gt;= 0</t>
        </is>
      </c>
      <c r="L109" s="119" t="n"/>
      <c r="M109" s="119" t="n"/>
      <c r="N109" s="119" t="n"/>
      <c r="O109" s="119" t="n"/>
      <c r="P109" s="119" t="n"/>
      <c r="U109" s="76" t="inlineStr">
        <is>
          <t>yes</t>
        </is>
      </c>
      <c r="W109" s="275" t="n">
        <v>17</v>
      </c>
      <c r="X109" s="170">
        <f>'Additional information'!$D$18</f>
        <v/>
      </c>
      <c r="Y109" s="276">
        <f>IF(W109&lt;&gt;"",W109*X109,"")</f>
        <v/>
      </c>
      <c r="Z109" s="276">
        <f>IF(AND(W109&lt;&gt;"",U109="yes"),W109*X109,"")</f>
        <v/>
      </c>
    </row>
    <row r="110" customFormat="1" s="76">
      <c r="A110" s="80" t="inlineStr">
        <is>
          <t>select_one landsize_unit</t>
        </is>
      </c>
      <c r="B110" s="80" t="inlineStr">
        <is>
          <t>crp_landsize_unit</t>
        </is>
      </c>
      <c r="C110" s="81" t="inlineStr">
        <is>
          <t xml:space="preserve">Unit of measurement for land size: </t>
        </is>
      </c>
      <c r="D110" s="99" t="n"/>
      <c r="E110" s="99" t="n"/>
      <c r="F110" s="80" t="inlineStr">
        <is>
          <t>[INSTRUCTIONS: DO NOT READ QUESTION. SELECT UNIT OF MEASUREMENT IN WHICH LAND SIZE WAS PROVIDED.]</t>
        </is>
      </c>
      <c r="G110" s="101" t="n"/>
      <c r="H110" s="101" t="n"/>
      <c r="I110" s="119" t="inlineStr">
        <is>
          <t>true</t>
        </is>
      </c>
      <c r="J110" s="119" t="n"/>
      <c r="K110" s="119" t="n"/>
      <c r="L110" s="119" t="n"/>
      <c r="M110" s="119" t="inlineStr">
        <is>
          <t>${crp_landsize_num} != 888 and ${crp_landsize_num} != 999</t>
        </is>
      </c>
      <c r="N110" s="119" t="n"/>
      <c r="O110" s="119" t="n"/>
      <c r="P110" s="119" t="n"/>
      <c r="U110" s="76" t="inlineStr">
        <is>
          <t>yes</t>
        </is>
      </c>
      <c r="W110" s="275" t="n">
        <v>0</v>
      </c>
      <c r="X110" s="170">
        <f>'Additional information'!$D$18</f>
        <v/>
      </c>
      <c r="Y110" s="276">
        <f>IF(W110&lt;&gt;"",W110*X110,"")</f>
        <v/>
      </c>
      <c r="Z110" s="276">
        <f>IF(AND(W110&lt;&gt;"",U110="yes"),W110*X110,"")</f>
        <v/>
      </c>
    </row>
    <row r="111" customFormat="1" s="73">
      <c r="C111" s="95" t="n"/>
      <c r="D111" s="71" t="n"/>
      <c r="E111" s="71" t="n"/>
      <c r="G111" s="72" t="n"/>
      <c r="H111" s="72" t="n"/>
      <c r="I111" s="123" t="n"/>
      <c r="J111" s="123" t="n"/>
      <c r="K111" s="123" t="n"/>
      <c r="L111" s="123" t="n"/>
      <c r="M111" s="123" t="n"/>
      <c r="N111" s="123" t="n"/>
      <c r="O111" s="123" t="n"/>
      <c r="P111" s="123" t="n"/>
      <c r="U111" s="45" t="inlineStr"/>
      <c r="W111" s="275" t="inlineStr"/>
      <c r="X111" s="170">
        <f>'Additional information'!$D$18</f>
        <v/>
      </c>
      <c r="Y111" s="276">
        <f>IF(W111&lt;&gt;"",W111*X111,"")</f>
        <v/>
      </c>
      <c r="Z111" s="276">
        <f>IF(AND(W111&lt;&gt;"",U111="yes"),W111*X111,"")</f>
        <v/>
      </c>
      <c r="AA111" s="74" t="n"/>
    </row>
    <row r="112" ht="28.8" customHeight="1">
      <c r="A112" s="75" t="inlineStr">
        <is>
          <t>select_one crop</t>
        </is>
      </c>
      <c r="B112" s="75" t="inlineStr">
        <is>
          <t>crp_main</t>
        </is>
      </c>
      <c r="C112" s="44" t="inlineStr">
        <is>
          <t>What is the main crop that your household grows for food or income generation in Spring/Ongoing, if any?</t>
        </is>
      </c>
      <c r="D112" s="88" t="n"/>
      <c r="E112" s="88" t="n"/>
      <c r="F112" s="75" t="inlineStr">
        <is>
          <t>[INSTRUCTIONS: "NO CROP PRODUCTION" APPEARS AT THE END OF THE LIST OF OPTIONS.]</t>
        </is>
      </c>
      <c r="G112" s="89" t="n"/>
      <c r="H112" s="89" t="n"/>
      <c r="I112" s="117" t="inlineStr">
        <is>
          <t>true</t>
        </is>
      </c>
      <c r="J112" s="119" t="inlineStr">
        <is>
          <t>autocomplete</t>
        </is>
      </c>
      <c r="K112" s="117" t="n"/>
      <c r="L112" s="117" t="n"/>
      <c r="M112" s="117" t="n"/>
      <c r="N112" s="117" t="n"/>
      <c r="O112" s="117" t="n"/>
      <c r="P112" s="117" t="n"/>
      <c r="U112" s="45" t="inlineStr">
        <is>
          <t>yes</t>
        </is>
      </c>
      <c r="W112" s="275" t="n">
        <v>27.05755233764648</v>
      </c>
      <c r="X112" s="170">
        <f>'Additional information'!$D$18</f>
        <v/>
      </c>
      <c r="Y112" s="276">
        <f>IF(W112&lt;&gt;"",W112*X112,"")</f>
        <v/>
      </c>
      <c r="Z112" s="276">
        <f>IF(AND(W112&lt;&gt;"",U112="yes"),W112*X112,"")</f>
        <v/>
      </c>
    </row>
    <row r="113">
      <c r="A113" s="75" t="inlineStr">
        <is>
          <t>calculate</t>
        </is>
      </c>
      <c r="B113" s="75" t="inlineStr">
        <is>
          <t>crpmain</t>
        </is>
      </c>
      <c r="C113" s="44" t="n"/>
      <c r="D113" s="88" t="n"/>
      <c r="E113" s="88" t="n"/>
      <c r="G113" s="89" t="n"/>
      <c r="H113" s="89" t="n"/>
      <c r="I113" s="117" t="n"/>
      <c r="J113" s="117" t="n"/>
      <c r="K113" s="117" t="n"/>
      <c r="L113" s="117" t="n"/>
      <c r="M113" s="117" t="n"/>
      <c r="N113" s="117" t="n"/>
      <c r="O113" s="117" t="n"/>
      <c r="P113" s="117" t="inlineStr">
        <is>
          <t>jr:choice-name(${crp_main},'${crp_main}')</t>
        </is>
      </c>
      <c r="U113" s="45" t="inlineStr">
        <is>
          <t>yes</t>
        </is>
      </c>
      <c r="W113" s="275" t="n"/>
      <c r="X113" s="170">
        <f>'Additional information'!$D$18</f>
        <v/>
      </c>
      <c r="Y113" s="276">
        <f>IF(W113&lt;&gt;"",W113*X113,"")</f>
        <v/>
      </c>
      <c r="Z113" s="276">
        <f>IF(AND(W113&lt;&gt;"",U113="yes"),W113*X113,"")</f>
        <v/>
      </c>
    </row>
    <row r="114">
      <c r="A114" s="75" t="inlineStr">
        <is>
          <t>select_one cropcheck</t>
        </is>
      </c>
      <c r="B114" s="75" t="inlineStr">
        <is>
          <t>crp_main_check</t>
        </is>
      </c>
      <c r="C114" s="44" t="inlineStr">
        <is>
          <t>Why did you not produce any crops in Spring/Ongoing?</t>
        </is>
      </c>
      <c r="D114" s="88" t="n"/>
      <c r="E114" s="88" t="n"/>
      <c r="G114" s="89" t="n"/>
      <c r="H114" s="89" t="n"/>
      <c r="I114" s="117" t="inlineStr">
        <is>
          <t>true</t>
        </is>
      </c>
      <c r="J114" s="117" t="n"/>
      <c r="K114" s="117" t="n"/>
      <c r="L114" s="117" t="n"/>
      <c r="M114" s="117" t="inlineStr">
        <is>
          <t>${crp_main}='777'</t>
        </is>
      </c>
      <c r="N114" s="117" t="n"/>
      <c r="O114" s="117" t="n"/>
      <c r="P114" s="117" t="n"/>
      <c r="U114" s="45" t="inlineStr">
        <is>
          <t>yes</t>
        </is>
      </c>
      <c r="W114" s="275" t="n">
        <v>0</v>
      </c>
      <c r="X114" s="170">
        <f>'Additional information'!$D$18</f>
        <v/>
      </c>
      <c r="Y114" s="276">
        <f>IF(W114&lt;&gt;"",W114*X114,"")</f>
        <v/>
      </c>
      <c r="Z114" s="276">
        <f>IF(AND(W114&lt;&gt;"",U114="yes"),W114*X114,"")</f>
        <v/>
      </c>
    </row>
    <row r="115" customFormat="1" s="76">
      <c r="C115" s="47" t="n"/>
      <c r="D115" s="99" t="n"/>
      <c r="E115" s="99" t="n"/>
      <c r="G115" s="101" t="n"/>
      <c r="H115" s="101" t="n"/>
      <c r="I115" s="129" t="n"/>
      <c r="J115" s="129" t="n"/>
      <c r="K115" s="129" t="n"/>
      <c r="L115" s="129" t="n"/>
      <c r="M115" s="129" t="n"/>
      <c r="N115" s="129" t="n"/>
      <c r="O115" s="129" t="n"/>
      <c r="P115" s="129" t="n"/>
      <c r="U115" s="76" t="inlineStr"/>
      <c r="W115" s="275" t="inlineStr"/>
      <c r="X115" s="170">
        <f>'Additional information'!$D$18</f>
        <v/>
      </c>
      <c r="Y115" s="276">
        <f>IF(W115&lt;&gt;"",W115*X115,"")</f>
        <v/>
      </c>
      <c r="Z115" s="276">
        <f>IF(AND(W115&lt;&gt;"",U115="yes"),W115*X115,"")</f>
        <v/>
      </c>
    </row>
    <row r="116" ht="31.8" customHeight="1">
      <c r="A116" s="75" t="inlineStr">
        <is>
          <t>select_one irrigation</t>
        </is>
      </c>
      <c r="B116" s="75" t="inlineStr">
        <is>
          <t>crp_irrig_source</t>
        </is>
      </c>
      <c r="C116" s="75" t="inlineStr">
        <is>
          <t xml:space="preserve">Where do you normally and mainly obtain water for the production of ${crpmain}? </t>
        </is>
      </c>
      <c r="D116" s="89" t="n"/>
      <c r="E116" s="89" t="n"/>
      <c r="G116" s="89" t="n"/>
      <c r="H116" s="89" t="n"/>
      <c r="I116" s="117" t="inlineStr">
        <is>
          <t>true</t>
        </is>
      </c>
      <c r="J116" s="117" t="n"/>
      <c r="K116" s="117" t="n"/>
      <c r="L116" s="117" t="n"/>
      <c r="M116" s="117" t="inlineStr">
        <is>
          <t>${crp_main} != '777' and ${crp_main} != '888' and ${crp_main} != '999'</t>
        </is>
      </c>
      <c r="N116" s="117" t="n"/>
      <c r="O116" s="117" t="n"/>
      <c r="P116" s="117" t="n"/>
      <c r="U116" s="45" t="inlineStr">
        <is>
          <t>yes</t>
        </is>
      </c>
      <c r="W116" s="275" t="n">
        <v>15.95429515838623</v>
      </c>
      <c r="X116" s="170">
        <f>'Additional information'!$D$18</f>
        <v/>
      </c>
      <c r="Y116" s="276">
        <f>IF(W116&lt;&gt;"",W116*X116,"")</f>
        <v/>
      </c>
      <c r="Z116" s="276">
        <f>IF(AND(W116&lt;&gt;"",U116="yes"),W116*X116,"")</f>
        <v/>
      </c>
    </row>
    <row r="117" ht="15.75" customHeight="1">
      <c r="A117" s="75" t="inlineStr">
        <is>
          <t>text</t>
        </is>
      </c>
      <c r="B117" s="75" t="inlineStr">
        <is>
          <t>crp_irrig_source_otherspecify</t>
        </is>
      </c>
      <c r="C117" s="81" t="inlineStr">
        <is>
          <t>If other, specify.</t>
        </is>
      </c>
      <c r="D117" s="99" t="n"/>
      <c r="E117" s="99" t="n"/>
      <c r="F117" s="76" t="inlineStr">
        <is>
          <t>[INSTRUCTIONS: RECORD THE OPEN RESPONSE GIVEN IN FEW WORDS. ENTER 888 FOR DON'T KNOW AND 999 FOR REFUSED]</t>
        </is>
      </c>
      <c r="G117" s="89" t="n"/>
      <c r="H117" s="89" t="n"/>
      <c r="I117" s="117" t="inlineStr">
        <is>
          <t>true</t>
        </is>
      </c>
      <c r="J117" s="117" t="n"/>
      <c r="K117" s="117" t="n"/>
      <c r="L117" s="117" t="n"/>
      <c r="M117" s="117" t="inlineStr">
        <is>
          <t>${crp_irrig_source}='6' and (${crp_main} != '777' and ${crp_main} != '888' and ${crp_main} != '999')</t>
        </is>
      </c>
      <c r="N117" s="117" t="n"/>
      <c r="O117" s="117" t="n"/>
      <c r="P117" s="117" t="n"/>
      <c r="U117" s="45" t="inlineStr">
        <is>
          <t>yes</t>
        </is>
      </c>
      <c r="W117" s="275" t="n"/>
      <c r="X117" s="170">
        <f>'Additional information'!$D$18</f>
        <v/>
      </c>
      <c r="Y117" s="276">
        <f>IF(W117&lt;&gt;"",W117*X117,"")</f>
        <v/>
      </c>
      <c r="Z117" s="276">
        <f>IF(AND(W117&lt;&gt;"",U117="yes"),W117*X117,"")</f>
        <v/>
      </c>
    </row>
    <row r="118" ht="15.75" customFormat="1" customHeight="1" s="77">
      <c r="C118" s="78" t="n"/>
      <c r="D118" s="79" t="n"/>
      <c r="E118" s="79" t="n"/>
      <c r="G118" s="83" t="n"/>
      <c r="H118" s="83" t="n"/>
      <c r="I118" s="118" t="n"/>
      <c r="J118" s="118" t="n"/>
      <c r="K118" s="118" t="n"/>
      <c r="L118" s="118" t="n"/>
      <c r="M118" s="118" t="n"/>
      <c r="N118" s="118" t="n"/>
      <c r="O118" s="118" t="n"/>
      <c r="P118" s="118" t="n"/>
      <c r="U118" s="77" t="inlineStr"/>
      <c r="W118" s="275" t="inlineStr"/>
      <c r="X118" s="170">
        <f>'Additional information'!$D$18</f>
        <v/>
      </c>
      <c r="Y118" s="276">
        <f>IF(W118&lt;&gt;"",W118*X118,"")</f>
        <v/>
      </c>
      <c r="Z118" s="276">
        <f>IF(AND(W118&lt;&gt;"",U118="yes"),W118*X118,"")</f>
        <v/>
      </c>
      <c r="AA118" s="76" t="n"/>
    </row>
    <row r="119" ht="15.75" customFormat="1" customHeight="1" s="77">
      <c r="A119" s="77" t="inlineStr">
        <is>
          <t>select_one irrigpump</t>
        </is>
      </c>
      <c r="B119" s="77" t="inlineStr">
        <is>
          <t>crp_irrig_system</t>
        </is>
      </c>
      <c r="C119" s="78" t="inlineStr">
        <is>
          <t>Do you [your community] use a pump for your own [the communal] irrigation system?</t>
        </is>
      </c>
      <c r="D119" s="79" t="n"/>
      <c r="E119" s="79" t="n"/>
      <c r="G119" s="83" t="n"/>
      <c r="H119" s="83" t="n"/>
      <c r="I119" s="118" t="n"/>
      <c r="J119" s="118" t="n"/>
      <c r="K119" s="118" t="n"/>
      <c r="L119" s="118" t="n"/>
      <c r="M119" s="118" t="inlineStr">
        <is>
          <t>not(${crp_irrig_source}='7' or ${crp_irrig_source}='8') and (${crp_main} != '777' and ${crp_main} != '888' and ${crp_main} != '999')</t>
        </is>
      </c>
      <c r="N119" s="118" t="n"/>
      <c r="O119" s="118" t="n"/>
      <c r="P119" s="118" t="n"/>
      <c r="W119" s="275" t="n"/>
      <c r="X119" s="170" t="n"/>
      <c r="Y119" s="276" t="n"/>
      <c r="Z119" s="276" t="n"/>
      <c r="AA119" s="76" t="n"/>
    </row>
    <row r="120" customFormat="1" s="77">
      <c r="A120" s="77" t="inlineStr">
        <is>
          <t xml:space="preserve">select_multiple seedsupply </t>
        </is>
      </c>
      <c r="B120" s="77" t="inlineStr">
        <is>
          <t>crp_seed</t>
        </is>
      </c>
      <c r="C120" s="78" t="inlineStr">
        <is>
          <t xml:space="preserve">Who do you normally procure your seeds from? </t>
        </is>
      </c>
      <c r="D120" s="79" t="n"/>
      <c r="E120" s="79" t="n"/>
      <c r="F120" s="77" t="inlineStr">
        <is>
          <t>[INSTRUCTIONS: MULTIPLE RESPONSES POSSIBLE.]</t>
        </is>
      </c>
      <c r="G120" s="83" t="n"/>
      <c r="H120" s="83" t="n"/>
      <c r="I120" s="118" t="inlineStr">
        <is>
          <t>true</t>
        </is>
      </c>
      <c r="J120" s="118" t="n"/>
      <c r="K120" s="118" t="inlineStr">
        <is>
          <t>if(selected(., 'ref') or selected(., 'dk'), count-selected(.) = 1, count-selected(.) &gt;= 1)</t>
        </is>
      </c>
      <c r="L120" s="118" t="n"/>
      <c r="M120" s="118" t="inlineStr">
        <is>
          <t>${crp_main} != '777' and ${crp_main} != '888' and ${crp_main} != '999'</t>
        </is>
      </c>
      <c r="N120" s="118" t="n"/>
      <c r="O120" s="118" t="n"/>
      <c r="P120" s="118" t="n"/>
      <c r="U120" s="77" t="inlineStr">
        <is>
          <t>no</t>
        </is>
      </c>
      <c r="W120" s="275" t="n">
        <v>17.92890930175781</v>
      </c>
      <c r="X120" s="170">
        <f>'Additional information'!$D$18</f>
        <v/>
      </c>
      <c r="Y120" s="276">
        <f>IF(W120&lt;&gt;"",W120*X120,"")</f>
        <v/>
      </c>
      <c r="Z120" s="276">
        <f>IF(AND(W120&lt;&gt;"",U120="yes"),W120*X120,"")</f>
        <v/>
      </c>
      <c r="AA120" s="76" t="n"/>
    </row>
    <row r="121" customFormat="1" s="77">
      <c r="C121" s="78" t="n"/>
      <c r="D121" s="79" t="n"/>
      <c r="E121" s="79" t="n"/>
      <c r="G121" s="83" t="n"/>
      <c r="H121" s="83" t="n"/>
      <c r="I121" s="118" t="n"/>
      <c r="J121" s="118" t="n"/>
      <c r="K121" s="118" t="n"/>
      <c r="L121" s="118" t="n"/>
      <c r="M121" s="118" t="n"/>
      <c r="N121" s="118" t="n"/>
      <c r="O121" s="118" t="n"/>
      <c r="P121" s="118" t="n"/>
      <c r="U121" s="77" t="inlineStr"/>
      <c r="W121" s="275" t="inlineStr"/>
      <c r="X121" s="170">
        <f>'Additional information'!$D$18</f>
        <v/>
      </c>
      <c r="Y121" s="276">
        <f>IF(W121&lt;&gt;"",W121*X121,"")</f>
        <v/>
      </c>
      <c r="Z121" s="276">
        <f>IF(AND(W121&lt;&gt;"",U121="yes"),W121*X121,"")</f>
        <v/>
      </c>
      <c r="AA121" s="76" t="n"/>
    </row>
    <row r="122" ht="28.8" customFormat="1" customHeight="1" s="77">
      <c r="A122" s="243" t="inlineStr">
        <is>
          <t>select_one o_difficulty_seed</t>
        </is>
      </c>
      <c r="B122" s="243" t="inlineStr">
        <is>
          <t>o_difficulty_seed</t>
        </is>
      </c>
      <c r="C122" s="257" t="inlineStr">
        <is>
          <t>Have you been facing any particular difficulty accessing seeds over the past three months?</t>
        </is>
      </c>
      <c r="D122" s="255" t="n"/>
      <c r="E122" s="255" t="n"/>
      <c r="F122" s="254" t="n"/>
      <c r="G122" s="254" t="n"/>
      <c r="H122" s="254" t="n"/>
      <c r="I122" s="248" t="inlineStr">
        <is>
          <t>true</t>
        </is>
      </c>
      <c r="J122" s="256" t="n"/>
      <c r="K122" s="256" t="n"/>
      <c r="L122" s="256" t="n"/>
      <c r="M122" s="256" t="n"/>
      <c r="N122" s="256" t="n"/>
      <c r="O122" s="256" t="n"/>
      <c r="P122" s="256" t="n"/>
      <c r="Q122" s="254" t="n"/>
      <c r="R122" s="254" t="n"/>
      <c r="S122" s="254" t="n"/>
      <c r="T122" s="254" t="n"/>
      <c r="U122" s="254" t="inlineStr">
        <is>
          <t>Yes</t>
        </is>
      </c>
      <c r="V122" s="254" t="n"/>
      <c r="W122" s="279" t="n">
        <v>10</v>
      </c>
      <c r="X122" s="251">
        <f>'[1]Additional information'!$D$18</f>
        <v/>
      </c>
      <c r="Y122" s="280">
        <f>IF(W122&lt;&gt;"",W122*X122,"")</f>
        <v/>
      </c>
      <c r="Z122" s="276" t="n"/>
      <c r="AA122" s="76" t="n"/>
    </row>
    <row r="123" customFormat="1" s="77">
      <c r="A123" s="243" t="inlineStr">
        <is>
          <t>select_one o_difficulty_seed_type</t>
        </is>
      </c>
      <c r="B123" s="243" t="inlineStr">
        <is>
          <t>o_difficulty_seed_type</t>
        </is>
      </c>
      <c r="C123" s="257" t="inlineStr">
        <is>
          <t>What has been the main difficulty in accessing seeds [over the past three months?</t>
        </is>
      </c>
      <c r="D123" s="255" t="n"/>
      <c r="E123" s="255" t="n"/>
      <c r="F123" s="254" t="n"/>
      <c r="G123" s="254" t="n"/>
      <c r="H123" s="254" t="n"/>
      <c r="I123" s="248" t="inlineStr">
        <is>
          <t>true</t>
        </is>
      </c>
      <c r="J123" s="256" t="n"/>
      <c r="K123" s="256" t="n"/>
      <c r="L123" s="256" t="n"/>
      <c r="M123" s="258" t="inlineStr">
        <is>
          <t>${o_difficulty_seed} = 'yes_difficulties'</t>
        </is>
      </c>
      <c r="N123" s="256" t="n"/>
      <c r="O123" s="256" t="n"/>
      <c r="P123" s="256" t="n"/>
      <c r="Q123" s="254" t="n"/>
      <c r="R123" s="254" t="n"/>
      <c r="S123" s="254" t="n"/>
      <c r="T123" s="254" t="n"/>
      <c r="U123" s="254" t="inlineStr">
        <is>
          <t>Yes</t>
        </is>
      </c>
      <c r="V123" s="254" t="n"/>
      <c r="W123" s="279" t="n">
        <v>10</v>
      </c>
      <c r="X123" s="251">
        <f>'[1]Additional information'!$D$18</f>
        <v/>
      </c>
      <c r="Y123" s="280">
        <f>IF(W123&lt;&gt;"",W123*X123,"")</f>
        <v/>
      </c>
      <c r="Z123" s="276" t="n"/>
      <c r="AA123" s="76" t="n"/>
    </row>
    <row r="124" customFormat="1" s="77">
      <c r="A124" s="243" t="inlineStr">
        <is>
          <t>text</t>
        </is>
      </c>
      <c r="B124" s="243" t="inlineStr">
        <is>
          <t>o_difficulty_seed_type_other</t>
        </is>
      </c>
      <c r="C124" s="257" t="inlineStr">
        <is>
          <t>Other, Please Specify</t>
        </is>
      </c>
      <c r="D124" s="255" t="n"/>
      <c r="E124" s="255" t="n"/>
      <c r="F124" s="254" t="n"/>
      <c r="G124" s="254" t="n"/>
      <c r="H124" s="254" t="n"/>
      <c r="I124" s="248" t="inlineStr">
        <is>
          <t>true</t>
        </is>
      </c>
      <c r="J124" s="256" t="n"/>
      <c r="K124" s="256" t="n"/>
      <c r="L124" s="256" t="n"/>
      <c r="M124" s="258" t="inlineStr">
        <is>
          <t>${o_difficulty_seed_type} = 'other'</t>
        </is>
      </c>
      <c r="N124" s="256" t="n"/>
      <c r="O124" s="256" t="n"/>
      <c r="P124" s="256" t="n"/>
      <c r="Q124" s="254" t="n"/>
      <c r="R124" s="254" t="n"/>
      <c r="S124" s="254" t="n"/>
      <c r="T124" s="254" t="n"/>
      <c r="U124" s="254" t="inlineStr">
        <is>
          <t>Yes</t>
        </is>
      </c>
      <c r="V124" s="254" t="n"/>
      <c r="W124" s="279" t="n"/>
      <c r="X124" s="251" t="n"/>
      <c r="Y124" s="280" t="n"/>
      <c r="Z124" s="276" t="n"/>
      <c r="AA124" s="76" t="n"/>
    </row>
    <row r="125" ht="28.8" customHeight="1">
      <c r="A125" s="75" t="inlineStr">
        <is>
          <t>select_one change</t>
        </is>
      </c>
      <c r="B125" s="75" t="inlineStr">
        <is>
          <t>crp_area_change</t>
        </is>
      </c>
      <c r="C125" s="44" t="inlineStr">
        <is>
          <t>How did the ***area planted*** for ${crpmain} from Spring/Ongoing compare to last year?</t>
        </is>
      </c>
      <c r="D125" s="88" t="n"/>
      <c r="E125" s="88" t="n"/>
      <c r="F125" s="75" t="n"/>
      <c r="G125" s="89" t="n"/>
      <c r="H125" s="89" t="n"/>
      <c r="I125" s="117" t="inlineStr">
        <is>
          <t>true</t>
        </is>
      </c>
      <c r="J125" s="117" t="n"/>
      <c r="K125" s="117" t="n"/>
      <c r="L125" s="117" t="n"/>
      <c r="M125" s="119" t="inlineStr">
        <is>
          <t>${crp_main} != '777' and ${crp_main} != '888' and ${crp_main} != '999'</t>
        </is>
      </c>
      <c r="N125" s="117" t="n"/>
      <c r="O125" s="117" t="n"/>
      <c r="P125" s="117" t="n"/>
      <c r="U125" s="45" t="inlineStr">
        <is>
          <t>yes</t>
        </is>
      </c>
      <c r="W125" s="275" t="n">
        <v>25.43687438964844</v>
      </c>
      <c r="X125" s="170">
        <f>'Additional information'!$D$18</f>
        <v/>
      </c>
      <c r="Y125" s="276">
        <f>IF(W125&lt;&gt;"",W125*X125,"")</f>
        <v/>
      </c>
      <c r="Z125" s="276">
        <f>IF(AND(W125&lt;&gt;"",U125="yes"),W125*X125,"")</f>
        <v/>
      </c>
    </row>
    <row r="126">
      <c r="A126" s="246" t="inlineStr">
        <is>
          <t>select_multiple reasons_less_planted</t>
        </is>
      </c>
      <c r="B126" s="246" t="inlineStr">
        <is>
          <t>o_less_area_reasons</t>
        </is>
      </c>
      <c r="C126" s="259" t="inlineStr">
        <is>
          <t xml:space="preserve">if planting less, what were the main issues? </t>
        </is>
      </c>
      <c r="D126" s="247" t="n"/>
      <c r="E126" s="247" t="n"/>
      <c r="F126" s="246" t="n"/>
      <c r="G126" s="246" t="n"/>
      <c r="H126" s="246" t="n"/>
      <c r="I126" s="248" t="inlineStr">
        <is>
          <t>true</t>
        </is>
      </c>
      <c r="J126" s="248" t="n"/>
      <c r="K126" s="248" t="n"/>
      <c r="L126" s="248" t="n"/>
      <c r="M126" s="249" t="inlineStr">
        <is>
          <t>${crp_area_change}= '4' or ${crp_area_change}= '5'</t>
        </is>
      </c>
      <c r="N126" s="248" t="n"/>
      <c r="O126" s="248" t="n"/>
      <c r="P126" s="248" t="n"/>
      <c r="Q126" s="246" t="n"/>
      <c r="R126" s="246" t="n"/>
      <c r="S126" s="246" t="n"/>
      <c r="T126" s="246" t="n"/>
      <c r="U126" s="254" t="inlineStr">
        <is>
          <t>Yes</t>
        </is>
      </c>
      <c r="V126" s="246" t="n"/>
      <c r="W126" s="279" t="n">
        <v>10</v>
      </c>
      <c r="X126" s="251">
        <f>'[1]Additional information'!$D$18</f>
        <v/>
      </c>
      <c r="Y126" s="280">
        <f>IF(W126&lt;&gt;"",W126*X126,"")</f>
        <v/>
      </c>
      <c r="Z126" s="276" t="n"/>
    </row>
    <row r="127">
      <c r="A127" s="243" t="inlineStr">
        <is>
          <t>select_one reasons_waterlack</t>
        </is>
      </c>
      <c r="B127" s="246" t="inlineStr">
        <is>
          <t>o_reasons_waterlack</t>
        </is>
      </c>
      <c r="C127" s="259" t="inlineStr">
        <is>
          <t>what was the main reason for lack of water?</t>
        </is>
      </c>
      <c r="D127" s="247" t="n"/>
      <c r="E127" s="247" t="n"/>
      <c r="F127" s="246" t="n"/>
      <c r="G127" s="246" t="n"/>
      <c r="H127" s="246" t="n"/>
      <c r="I127" s="248" t="inlineStr">
        <is>
          <t>true</t>
        </is>
      </c>
      <c r="J127" s="248" t="n"/>
      <c r="K127" s="248" t="n"/>
      <c r="L127" s="248" t="n"/>
      <c r="M127" s="249" t="inlineStr">
        <is>
          <t>${o_less_area_reasons} = '2'</t>
        </is>
      </c>
      <c r="N127" s="248" t="n"/>
      <c r="O127" s="248" t="n"/>
      <c r="P127" s="248" t="n"/>
      <c r="Q127" s="246" t="n"/>
      <c r="R127" s="246" t="n"/>
      <c r="S127" s="246" t="n"/>
      <c r="T127" s="246" t="n"/>
      <c r="U127" s="254" t="inlineStr">
        <is>
          <t>Yes</t>
        </is>
      </c>
      <c r="V127" s="246" t="n"/>
      <c r="W127" s="279" t="n">
        <v>10</v>
      </c>
      <c r="X127" s="251">
        <f>'[1]Additional information'!$D$18</f>
        <v/>
      </c>
      <c r="Y127" s="280">
        <f>IF(W127&lt;&gt;"",W127*X127,"")</f>
        <v/>
      </c>
      <c r="Z127" s="276" t="n"/>
    </row>
    <row r="128">
      <c r="A128" s="243" t="inlineStr">
        <is>
          <t>select_one reasons_accessinputs</t>
        </is>
      </c>
      <c r="B128" s="246" t="inlineStr">
        <is>
          <t>o_reasons_accessinputs</t>
        </is>
      </c>
      <c r="C128" s="259" t="inlineStr">
        <is>
          <t>What was the main reason for lack of other inputs?</t>
        </is>
      </c>
      <c r="D128" s="247" t="n"/>
      <c r="E128" s="247" t="n"/>
      <c r="F128" s="246" t="n"/>
      <c r="G128" s="246" t="n"/>
      <c r="H128" s="246" t="n"/>
      <c r="I128" s="248" t="inlineStr">
        <is>
          <t>true</t>
        </is>
      </c>
      <c r="J128" s="248" t="n"/>
      <c r="K128" s="248" t="n"/>
      <c r="L128" s="248" t="n"/>
      <c r="M128" s="249" t="inlineStr">
        <is>
          <t>${o_less_area_reasons} = '4'</t>
        </is>
      </c>
      <c r="N128" s="248" t="n"/>
      <c r="O128" s="248" t="n"/>
      <c r="P128" s="248" t="n"/>
      <c r="Q128" s="246" t="n"/>
      <c r="R128" s="246" t="n"/>
      <c r="S128" s="246" t="n"/>
      <c r="T128" s="246" t="n"/>
      <c r="U128" s="254" t="inlineStr">
        <is>
          <t>Yes</t>
        </is>
      </c>
      <c r="V128" s="246" t="n"/>
      <c r="W128" s="279" t="n">
        <v>10</v>
      </c>
      <c r="X128" s="251">
        <f>'[1]Additional information'!$D$18</f>
        <v/>
      </c>
      <c r="Y128" s="280">
        <f>IF(W128&lt;&gt;"",W128*X128,"")</f>
        <v/>
      </c>
      <c r="Z128" s="276" t="n"/>
    </row>
    <row r="129" ht="28.8" customHeight="1">
      <c r="A129" s="75" t="inlineStr">
        <is>
          <t>select_one change</t>
        </is>
      </c>
      <c r="B129" s="75" t="inlineStr">
        <is>
          <t>crp_harv_change</t>
        </is>
      </c>
      <c r="C129" s="44" t="inlineStr">
        <is>
          <t xml:space="preserve">How does the  ***harvest*** of ${crpmain} in the Spring/Ongoing compare to last year? </t>
        </is>
      </c>
      <c r="D129" s="88" t="n"/>
      <c r="E129" s="88" t="n"/>
      <c r="G129" s="89" t="n"/>
      <c r="H129" s="89" t="n"/>
      <c r="I129" s="117" t="inlineStr">
        <is>
          <t>true</t>
        </is>
      </c>
      <c r="J129" s="117" t="n"/>
      <c r="K129" s="117" t="n"/>
      <c r="L129" s="117" t="n"/>
      <c r="M129" s="119" t="inlineStr">
        <is>
          <t>${crp_main} != '777' and ${crp_main} != '888' and ${crp_main} != '999'</t>
        </is>
      </c>
      <c r="N129" s="117" t="n"/>
      <c r="O129" s="117" t="n"/>
      <c r="P129" s="117" t="n"/>
      <c r="U129" s="45" t="inlineStr">
        <is>
          <t>yes</t>
        </is>
      </c>
      <c r="W129" s="275" t="n">
        <v>19.36494636535645</v>
      </c>
      <c r="X129" s="170">
        <f>'Additional information'!$D$18</f>
        <v/>
      </c>
      <c r="Y129" s="276">
        <f>IF(W129&lt;&gt;"",W129*X129,"")</f>
        <v/>
      </c>
      <c r="Z129" s="276">
        <f>IF(AND(W129&lt;&gt;"",U129="yes"),W129*X129,"")</f>
        <v/>
      </c>
    </row>
    <row r="130" customFormat="1" s="77">
      <c r="A130" s="77" t="inlineStr">
        <is>
          <t>decimal</t>
        </is>
      </c>
      <c r="B130" s="77" t="inlineStr">
        <is>
          <t>crp_harv_vol</t>
        </is>
      </c>
      <c r="C130" s="78" t="inlineStr">
        <is>
          <t>How much (threshed) ${crpmain} did you harvest this Spring/Ongoing?</t>
        </is>
      </c>
      <c r="D130" s="79" t="n"/>
      <c r="E130" s="79" t="n"/>
      <c r="F130" s="77" t="inlineStr">
        <is>
          <t>[INSTRUCTIONS: RECORD THE RESPONSE GIVEN. UNIT OF MEASUREMENT TO BE SPECIFIED IN NEXT QUESTION. ENTER 888 FOR DON'T KNOW &amp; 999 FOR REFUSED, TO BE USED RARELY - PROBE!]</t>
        </is>
      </c>
      <c r="G130" s="83" t="n"/>
      <c r="H130" s="83" t="n"/>
      <c r="I130" s="118" t="inlineStr">
        <is>
          <t>true</t>
        </is>
      </c>
      <c r="J130" s="129" t="n"/>
      <c r="K130" s="132" t="inlineStr">
        <is>
          <t>. &gt;= 0</t>
        </is>
      </c>
      <c r="L130" s="118" t="n"/>
      <c r="M130" s="118" t="inlineStr">
        <is>
          <t>${crp_main} != '777' and ${crp_main} != '888' and ${crp_main} != '999'</t>
        </is>
      </c>
      <c r="N130" s="118" t="n"/>
      <c r="O130" s="118" t="n"/>
      <c r="P130" s="118" t="n"/>
      <c r="U130" s="77" t="inlineStr">
        <is>
          <t>no</t>
        </is>
      </c>
      <c r="W130" s="275" t="n">
        <v>17</v>
      </c>
      <c r="X130" s="170">
        <f>'Additional information'!$D$18</f>
        <v/>
      </c>
      <c r="Y130" s="276">
        <f>IF(W130&lt;&gt;"",W130*X130,"")</f>
        <v/>
      </c>
      <c r="Z130" s="276">
        <f>IF(AND(W130&lt;&gt;"",U130="yes"),W130*X130,"")</f>
        <v/>
      </c>
      <c r="AA130" s="76" t="n"/>
    </row>
    <row r="131" customFormat="1" s="77">
      <c r="A131" s="77" t="inlineStr">
        <is>
          <t>select_one harv_unit</t>
        </is>
      </c>
      <c r="B131" s="77" t="inlineStr">
        <is>
          <t>crp_harv_unit</t>
        </is>
      </c>
      <c r="C131" s="78" t="inlineStr">
        <is>
          <t>Unit of measurement for harvested ${crpmain}:</t>
        </is>
      </c>
      <c r="D131" s="79" t="n"/>
      <c r="E131" s="79" t="n"/>
      <c r="G131" s="83" t="n"/>
      <c r="H131" s="83" t="n"/>
      <c r="I131" s="118" t="inlineStr">
        <is>
          <t>true</t>
        </is>
      </c>
      <c r="J131" s="129" t="n"/>
      <c r="K131" s="118" t="n"/>
      <c r="L131" s="118" t="n"/>
      <c r="M131" s="118" t="inlineStr">
        <is>
          <t>${crp_harv_vol} != '888' and ${crp_harv_vol} != '999'</t>
        </is>
      </c>
      <c r="N131" s="118" t="n"/>
      <c r="O131" s="118" t="n"/>
      <c r="P131" s="118" t="n"/>
      <c r="U131" s="77" t="inlineStr">
        <is>
          <t>no</t>
        </is>
      </c>
      <c r="W131" s="275" t="n">
        <v>17</v>
      </c>
      <c r="X131" s="170">
        <f>'Additional information'!$D$18</f>
        <v/>
      </c>
      <c r="Y131" s="276">
        <f>IF(W131&lt;&gt;"",W131*X131,"")</f>
        <v/>
      </c>
      <c r="Z131" s="276">
        <f>IF(AND(W131&lt;&gt;"",U131="yes"),W131*X131,"")</f>
        <v/>
      </c>
      <c r="AA131" s="76" t="n"/>
    </row>
    <row r="132" customFormat="1" s="77">
      <c r="A132" s="77" t="inlineStr">
        <is>
          <t>calculate</t>
        </is>
      </c>
      <c r="B132" s="77" t="inlineStr">
        <is>
          <t>crp_harvunit</t>
        </is>
      </c>
      <c r="C132" s="78" t="n"/>
      <c r="D132" s="79" t="n"/>
      <c r="E132" s="79" t="n"/>
      <c r="G132" s="83" t="n"/>
      <c r="H132" s="83" t="n"/>
      <c r="I132" s="118" t="n"/>
      <c r="J132" s="118" t="n"/>
      <c r="K132" s="118" t="n"/>
      <c r="L132" s="118" t="n"/>
      <c r="M132" s="118" t="n"/>
      <c r="N132" s="118" t="n"/>
      <c r="O132" s="118" t="n"/>
      <c r="P132" s="118" t="inlineStr">
        <is>
          <t>jr:choice-name(${crp_harv_unit},'${crp_harv_unit}')</t>
        </is>
      </c>
      <c r="U132" s="77" t="inlineStr">
        <is>
          <t>no</t>
        </is>
      </c>
      <c r="W132" s="275" t="n"/>
      <c r="X132" s="170">
        <f>'Additional information'!$D$18</f>
        <v/>
      </c>
      <c r="Y132" s="276">
        <f>IF(W132&lt;&gt;"",W132*X132,"")</f>
        <v/>
      </c>
      <c r="Z132" s="276">
        <f>IF(AND(W132&lt;&gt;"",U132="yes"),W132*X132,"")</f>
        <v/>
      </c>
      <c r="AA132" s="76" t="n"/>
    </row>
    <row r="133" customFormat="1" s="77">
      <c r="A133" s="77" t="inlineStr">
        <is>
          <t>decimal</t>
        </is>
      </c>
      <c r="B133" s="77" t="inlineStr">
        <is>
          <t>crp_harv_unit_kg</t>
        </is>
      </c>
      <c r="C133" s="78" t="inlineStr">
        <is>
          <t>How many kilograms [kgs] in each unit?</t>
        </is>
      </c>
      <c r="D133" s="79" t="n"/>
      <c r="E133" s="79" t="n"/>
      <c r="F133" s="77" t="inlineStr">
        <is>
          <t>[INSTRUCTIONS: RECORD THE RESPONSE GIVEN. ENTER 888 FOR DON'T KNOW &amp; 999 FOR REFUSED, TO BE USED RARELY - PROBE!]</t>
        </is>
      </c>
      <c r="G133" s="83" t="n"/>
      <c r="H133" s="83" t="n"/>
      <c r="I133" s="118" t="inlineStr">
        <is>
          <t>true</t>
        </is>
      </c>
      <c r="J133" s="129" t="n"/>
      <c r="K133" s="118" t="n"/>
      <c r="L133" s="118" t="n"/>
      <c r="M133" s="118" t="inlineStr">
        <is>
          <t>(${crp_harv_vol} != '888' and ${crp_harv_vol} != '999') and (${crp_harv_unit}='5' or ${crp_harv_unit}='6' or ${crp_harv_unit}='7' or ${crp_harv_unit}='8' or ${crp_harv_unit}='9')</t>
        </is>
      </c>
      <c r="N133" s="118" t="n"/>
      <c r="O133" s="118" t="n"/>
      <c r="P133" s="118" t="n"/>
      <c r="U133" s="77" t="inlineStr">
        <is>
          <t>no</t>
        </is>
      </c>
      <c r="W133" s="275" t="n">
        <v>17</v>
      </c>
      <c r="X133" s="170">
        <f>'Additional information'!$D$18</f>
        <v/>
      </c>
      <c r="Y133" s="276">
        <f>IF(W133&lt;&gt;"",W133*X133,"")</f>
        <v/>
      </c>
      <c r="Z133" s="276">
        <f>IF(AND(W133&lt;&gt;"",U133="yes"),W133*X133,"")</f>
        <v/>
      </c>
      <c r="AA133" s="76" t="n"/>
    </row>
    <row r="134" customFormat="1" s="77">
      <c r="C134" s="78" t="n"/>
      <c r="D134" s="79" t="n"/>
      <c r="E134" s="79" t="n"/>
      <c r="G134" s="83" t="n"/>
      <c r="H134" s="83" t="n"/>
      <c r="I134" s="118" t="n"/>
      <c r="J134" s="118" t="n"/>
      <c r="K134" s="118" t="n"/>
      <c r="L134" s="118" t="n"/>
      <c r="M134" s="118" t="n"/>
      <c r="N134" s="118" t="n"/>
      <c r="O134" s="118" t="n"/>
      <c r="P134" s="118" t="n"/>
      <c r="U134" s="77" t="inlineStr"/>
      <c r="W134" s="275" t="inlineStr"/>
      <c r="X134" s="170">
        <f>'Additional information'!$D$18</f>
        <v/>
      </c>
      <c r="Y134" s="276">
        <f>IF(W134&lt;&gt;"",W134*X134,"")</f>
        <v/>
      </c>
      <c r="Z134" s="276">
        <f>IF(AND(W134&lt;&gt;"",U134="yes"),W134*X134,"")</f>
        <v/>
      </c>
      <c r="AA134" s="76" t="n"/>
    </row>
    <row r="135" ht="28.8" customHeight="1">
      <c r="A135" s="75" t="inlineStr">
        <is>
          <t>select_one yes_no</t>
        </is>
      </c>
      <c r="B135" s="75" t="inlineStr">
        <is>
          <t>crp_proddif</t>
        </is>
      </c>
      <c r="C135" s="44" t="inlineStr">
        <is>
          <t>Has your household faced any significant difficulty ***in terms of crop production*** in Spring/Ongoing?</t>
        </is>
      </c>
      <c r="D135" s="88" t="n"/>
      <c r="E135" s="88" t="n"/>
      <c r="G135" s="89" t="n"/>
      <c r="H135" s="89" t="n"/>
      <c r="I135" s="117" t="inlineStr">
        <is>
          <t>true</t>
        </is>
      </c>
      <c r="J135" s="117" t="n"/>
      <c r="K135" s="117" t="n"/>
      <c r="L135" s="117" t="n"/>
      <c r="M135" s="119" t="inlineStr">
        <is>
          <t>${crp_main} != '888' and ${crp_main} != '999' and ${crp_main_check} != 1</t>
        </is>
      </c>
      <c r="N135" s="117" t="n"/>
      <c r="O135" s="117" t="n"/>
      <c r="P135" s="117" t="n"/>
      <c r="U135" s="45" t="inlineStr">
        <is>
          <t>yes</t>
        </is>
      </c>
      <c r="W135" s="275" t="n">
        <v>13.45886421203613</v>
      </c>
      <c r="X135" s="170">
        <f>'Additional information'!$D$18</f>
        <v/>
      </c>
      <c r="Y135" s="276">
        <f>IF(W135&lt;&gt;"",W135*X135,"")</f>
        <v/>
      </c>
      <c r="Z135" s="276">
        <f>IF(AND(W135&lt;&gt;"",U135="yes"),W135*X135,"")</f>
        <v/>
      </c>
    </row>
    <row r="136">
      <c r="A136" s="75" t="inlineStr">
        <is>
          <t>select_multiple cropproddiff</t>
        </is>
      </c>
      <c r="B136" s="75" t="inlineStr">
        <is>
          <t>crp_proddif_</t>
        </is>
      </c>
      <c r="C136" s="44" t="inlineStr">
        <is>
          <t>Which difficulties has your household faced with crop production in Spring/Ongoing?</t>
        </is>
      </c>
      <c r="D136" s="88" t="n"/>
      <c r="E136" s="88" t="n"/>
      <c r="F136" s="45" t="inlineStr">
        <is>
          <t>[INSTRUCTIONS: MULTIPLE RESPONSES POSSIBLE. SELECT OPTION(S) THAT BEST FIT THE INFORMATION PROVIDED BY THE RESPONDENTS.]</t>
        </is>
      </c>
      <c r="G136" s="89" t="n"/>
      <c r="H136" s="89" t="n"/>
      <c r="I136" s="117" t="inlineStr">
        <is>
          <t>true</t>
        </is>
      </c>
      <c r="J136" s="117" t="n"/>
      <c r="K136" s="119" t="inlineStr">
        <is>
          <t>if(selected(., 'ref') or selected(., 'dk'), count-selected(.) = 1, count-selected(.) &gt;= 1)</t>
        </is>
      </c>
      <c r="L136" s="117" t="n"/>
      <c r="M136" s="119" t="inlineStr">
        <is>
          <t>${crp_proddif} = '1' and (${crp_main} != '888' and ${crp_main} != '999' and ${crp_main_check} != 1)</t>
        </is>
      </c>
      <c r="N136" s="117" t="n"/>
      <c r="O136" s="117" t="n"/>
      <c r="P136" s="117" t="n"/>
      <c r="U136" s="45" t="inlineStr">
        <is>
          <t>yes</t>
        </is>
      </c>
      <c r="W136" s="275" t="n">
        <v>37.52328872680664</v>
      </c>
      <c r="X136" s="170">
        <f>'Additional information'!$D$18</f>
        <v/>
      </c>
      <c r="Y136" s="276">
        <f>IF(W136&lt;&gt;"",W136*X136,"")</f>
        <v/>
      </c>
      <c r="Z136" s="276">
        <f>IF(AND(W136&lt;&gt;"",U136="yes"),W136*X136,"")</f>
        <v/>
      </c>
    </row>
    <row r="137">
      <c r="D137" s="88" t="n"/>
      <c r="E137" s="88" t="n"/>
      <c r="G137" s="89" t="n"/>
      <c r="H137" s="89" t="n"/>
      <c r="M137" s="129" t="n"/>
      <c r="U137" s="45" t="inlineStr"/>
      <c r="W137" s="275" t="inlineStr"/>
      <c r="X137" s="170">
        <f>'Additional information'!$D$18</f>
        <v/>
      </c>
      <c r="Y137" s="276">
        <f>IF(W137&lt;&gt;"",W137*X137,"")</f>
        <v/>
      </c>
      <c r="Z137" s="276">
        <f>IF(AND(W137&lt;&gt;"",U137="yes"),W137*X137,"")</f>
        <v/>
      </c>
    </row>
    <row r="138">
      <c r="A138" s="248" t="inlineStr">
        <is>
          <t>text</t>
        </is>
      </c>
      <c r="B138" s="248" t="inlineStr">
        <is>
          <t>o_pest_disease</t>
        </is>
      </c>
      <c r="C138" s="257" t="inlineStr">
        <is>
          <t>Which diseases affected your crop production in the past three months? (open-ended)</t>
        </is>
      </c>
      <c r="D138" s="247" t="n"/>
      <c r="E138" s="247" t="n"/>
      <c r="F138" s="246" t="n"/>
      <c r="G138" s="246" t="n"/>
      <c r="H138" s="246" t="n"/>
      <c r="I138" s="248" t="inlineStr">
        <is>
          <t>true</t>
        </is>
      </c>
      <c r="J138" s="248" t="n"/>
      <c r="K138" s="248" t="n"/>
      <c r="L138" s="248" t="n"/>
      <c r="M138" s="249" t="inlineStr">
        <is>
          <t xml:space="preserve">${cropproddif}= 'plant_disease' </t>
        </is>
      </c>
      <c r="N138" s="248" t="n"/>
      <c r="O138" s="248" t="n"/>
      <c r="P138" s="248" t="n"/>
      <c r="Q138" s="246" t="n"/>
      <c r="R138" s="246" t="n"/>
      <c r="S138" s="246" t="n"/>
      <c r="T138" s="246" t="n"/>
      <c r="U138" s="254" t="inlineStr">
        <is>
          <t>Yes</t>
        </is>
      </c>
      <c r="V138" s="246" t="n"/>
      <c r="W138" s="279" t="n">
        <v>7</v>
      </c>
      <c r="X138" s="251">
        <f>'[1]Additional information'!$D$18</f>
        <v/>
      </c>
      <c r="Y138" s="280">
        <f>IF(W138&lt;&gt;"",W138*X138,"")</f>
        <v/>
      </c>
      <c r="Z138" s="276" t="n"/>
    </row>
    <row r="139" ht="28.8" customFormat="1" customHeight="1" s="77">
      <c r="A139" s="77" t="inlineStr">
        <is>
          <t>select_one storage</t>
        </is>
      </c>
      <c r="B139" s="77" t="inlineStr">
        <is>
          <t>crp_storage</t>
        </is>
      </c>
      <c r="C139" s="78" t="inlineStr">
        <is>
          <t>Last year, what proportion of your ${crpmain} stock did you lose [to pests, rotting, mould, etc.] after the harvest?</t>
        </is>
      </c>
      <c r="D139" s="79" t="n"/>
      <c r="E139" s="79" t="n"/>
      <c r="G139" s="83" t="n"/>
      <c r="H139" s="83" t="n"/>
      <c r="I139" s="118" t="inlineStr">
        <is>
          <t>true</t>
        </is>
      </c>
      <c r="J139" s="118" t="n"/>
      <c r="K139" s="118" t="n"/>
      <c r="L139" s="118" t="n"/>
      <c r="M139" s="118" t="inlineStr">
        <is>
          <t>${crp_main} != '888' and ${crp_main} != '999' and ${crp_main} != '777'</t>
        </is>
      </c>
      <c r="N139" s="118" t="n"/>
      <c r="O139" s="118" t="n"/>
      <c r="P139" s="118" t="n"/>
      <c r="U139" s="77" t="inlineStr">
        <is>
          <t>no</t>
        </is>
      </c>
      <c r="W139" s="275" t="n">
        <v>17</v>
      </c>
      <c r="X139" s="170">
        <f>'Additional information'!$D$18</f>
        <v/>
      </c>
      <c r="Y139" s="276">
        <f>IF(W139&lt;&gt;"",W139*X139,"")</f>
        <v/>
      </c>
      <c r="Z139" s="276">
        <f>IF(AND(W139&lt;&gt;"",U139="yes"),W139*X139,"")</f>
        <v/>
      </c>
      <c r="AA139" s="76" t="n"/>
    </row>
    <row r="140" customFormat="1" s="77">
      <c r="C140" s="253" t="n"/>
      <c r="D140" s="79" t="n"/>
      <c r="E140" s="79" t="n"/>
      <c r="G140" s="83" t="n"/>
      <c r="H140" s="83" t="n"/>
      <c r="I140" s="118" t="n"/>
      <c r="J140" s="118" t="n"/>
      <c r="K140" s="118" t="n"/>
      <c r="L140" s="118" t="n"/>
      <c r="M140" s="118" t="n"/>
      <c r="N140" s="118" t="n"/>
      <c r="O140" s="118" t="n"/>
      <c r="P140" s="118" t="n"/>
      <c r="W140" s="275" t="n"/>
      <c r="X140" s="170" t="n"/>
      <c r="Y140" s="276" t="n"/>
      <c r="Z140" s="276" t="n"/>
      <c r="AA140" s="76" t="n"/>
    </row>
    <row r="141" customFormat="1" s="77">
      <c r="A141" s="246" t="inlineStr">
        <is>
          <t>select_one yes_no</t>
        </is>
      </c>
      <c r="B141" s="246" t="inlineStr">
        <is>
          <t>o_cultivation_flooded</t>
        </is>
      </c>
      <c r="C141" s="247" t="inlineStr">
        <is>
          <t>Did the floods affect your cultivation?</t>
        </is>
      </c>
      <c r="D141" s="255" t="n"/>
      <c r="E141" s="255" t="n"/>
      <c r="F141" s="254" t="n"/>
      <c r="G141" s="254" t="n"/>
      <c r="H141" s="254" t="n"/>
      <c r="I141" s="248" t="inlineStr">
        <is>
          <t>true</t>
        </is>
      </c>
      <c r="J141" s="256" t="n"/>
      <c r="K141" s="256" t="n"/>
      <c r="L141" s="254" t="n"/>
      <c r="M141" s="249" t="inlineStr">
        <is>
          <t xml:space="preserve">${affected_flood} = '1' </t>
        </is>
      </c>
      <c r="N141" s="256" t="n"/>
      <c r="O141" s="256" t="n"/>
      <c r="P141" s="256" t="n"/>
      <c r="Q141" s="254" t="n"/>
      <c r="R141" s="254" t="n"/>
      <c r="S141" s="254" t="n"/>
      <c r="T141" s="254" t="n"/>
      <c r="U141" s="254" t="n"/>
      <c r="V141" s="254" t="n"/>
      <c r="W141" s="279" t="n">
        <v>7</v>
      </c>
      <c r="X141" s="251" t="n">
        <v>0.91</v>
      </c>
      <c r="Y141" s="280">
        <f>IF(W141&lt;&gt;"",W141*X141,"")</f>
        <v/>
      </c>
      <c r="Z141" s="276" t="n"/>
      <c r="AA141" s="76" t="n"/>
    </row>
    <row r="142" customFormat="1" s="77">
      <c r="A142" s="245" t="inlineStr">
        <is>
          <t>decimal</t>
        </is>
      </c>
      <c r="B142" s="246" t="inlineStr">
        <is>
          <t>o_landsize_flooded</t>
        </is>
      </c>
      <c r="C142" s="247" t="inlineStr">
        <is>
          <t>What size of land was flooded?</t>
        </is>
      </c>
      <c r="D142" s="255" t="n"/>
      <c r="E142" s="255" t="n"/>
      <c r="F142" s="254" t="n"/>
      <c r="G142" s="254" t="n"/>
      <c r="H142" s="254" t="n"/>
      <c r="I142" s="248" t="inlineStr">
        <is>
          <t>true</t>
        </is>
      </c>
      <c r="J142" s="256" t="n"/>
      <c r="K142" s="249" t="inlineStr">
        <is>
          <t>. &gt;= 0</t>
        </is>
      </c>
      <c r="L142" s="254" t="n"/>
      <c r="M142" s="249" t="inlineStr">
        <is>
          <t xml:space="preserve">${o_cultivation_flooded} = '1' </t>
        </is>
      </c>
      <c r="N142" s="256" t="n"/>
      <c r="O142" s="256" t="n"/>
      <c r="P142" s="256" t="n"/>
      <c r="Q142" s="254" t="n"/>
      <c r="R142" s="254" t="n"/>
      <c r="S142" s="254" t="n"/>
      <c r="T142" s="254" t="n"/>
      <c r="U142" s="254" t="n"/>
      <c r="V142" s="254" t="n"/>
      <c r="W142" s="279" t="n">
        <v>7</v>
      </c>
      <c r="X142" s="251" t="n">
        <v>0.91</v>
      </c>
      <c r="Y142" s="280">
        <f>IF(W142&lt;&gt;"",W142*X142,"")</f>
        <v/>
      </c>
      <c r="Z142" s="276" t="n"/>
      <c r="AA142" s="76" t="n"/>
    </row>
    <row r="143" customFormat="1" s="77">
      <c r="A143" s="245" t="inlineStr">
        <is>
          <t>select_one landsize_unit</t>
        </is>
      </c>
      <c r="B143" s="246" t="inlineStr">
        <is>
          <t>o_unit_of_measurement</t>
        </is>
      </c>
      <c r="C143" s="247" t="inlineStr">
        <is>
          <t xml:space="preserve">Unit of measurement for land size: </t>
        </is>
      </c>
      <c r="D143" s="255" t="n"/>
      <c r="E143" s="255" t="n"/>
      <c r="F143" s="254" t="n"/>
      <c r="G143" s="254" t="n"/>
      <c r="H143" s="254" t="n"/>
      <c r="I143" s="248" t="inlineStr">
        <is>
          <t>true</t>
        </is>
      </c>
      <c r="J143" s="256" t="n"/>
      <c r="K143" s="256" t="n"/>
      <c r="L143" s="254" t="n"/>
      <c r="M143" s="249" t="inlineStr">
        <is>
          <t xml:space="preserve">${o_cultivation_flooded} = '1' </t>
        </is>
      </c>
      <c r="N143" s="256" t="n"/>
      <c r="O143" s="256" t="n"/>
      <c r="P143" s="256" t="n"/>
      <c r="Q143" s="254" t="n"/>
      <c r="R143" s="254" t="n"/>
      <c r="S143" s="254" t="n"/>
      <c r="T143" s="254" t="n"/>
      <c r="U143" s="254" t="n"/>
      <c r="V143" s="254" t="n"/>
      <c r="W143" s="279" t="n">
        <v>7</v>
      </c>
      <c r="X143" s="251" t="n">
        <v>0.91</v>
      </c>
      <c r="Y143" s="280">
        <f>IF(W143&lt;&gt;"",W143*X143,"")</f>
        <v/>
      </c>
      <c r="Z143" s="276" t="n"/>
      <c r="AA143" s="76" t="n"/>
    </row>
    <row r="144" customFormat="1" s="77">
      <c r="A144" s="246" t="inlineStr">
        <is>
          <t>select_one yes_no</t>
        </is>
      </c>
      <c r="B144" s="246" t="inlineStr">
        <is>
          <t>o_stored_seed_loss</t>
        </is>
      </c>
      <c r="C144" s="247" t="inlineStr">
        <is>
          <t>Was your stored seed/crop damaged due to floods?</t>
        </is>
      </c>
      <c r="D144" s="255" t="n"/>
      <c r="E144" s="255" t="n"/>
      <c r="F144" s="254" t="n"/>
      <c r="G144" s="254" t="n"/>
      <c r="H144" s="254" t="n"/>
      <c r="I144" s="248" t="inlineStr">
        <is>
          <t>true</t>
        </is>
      </c>
      <c r="J144" s="256" t="n"/>
      <c r="K144" s="256" t="n"/>
      <c r="L144" s="254" t="n"/>
      <c r="M144" s="249" t="inlineStr">
        <is>
          <t xml:space="preserve">${o_cultivation_flooded} = '1' </t>
        </is>
      </c>
      <c r="N144" s="256" t="n"/>
      <c r="O144" s="256" t="n"/>
      <c r="P144" s="256" t="n"/>
      <c r="Q144" s="254" t="n"/>
      <c r="R144" s="254" t="n"/>
      <c r="S144" s="254" t="n"/>
      <c r="T144" s="254" t="n"/>
      <c r="U144" s="254" t="n"/>
      <c r="V144" s="254" t="n"/>
      <c r="W144" s="279" t="n">
        <v>7</v>
      </c>
      <c r="X144" s="251" t="n">
        <v>0.91</v>
      </c>
      <c r="Y144" s="280">
        <f>IF(W144&lt;&gt;"",W144*X144,"")</f>
        <v/>
      </c>
      <c r="Z144" s="276" t="n"/>
      <c r="AA144" s="76" t="n"/>
    </row>
    <row r="145" customFormat="1" s="77">
      <c r="A145" s="246" t="inlineStr">
        <is>
          <t>decimal</t>
        </is>
      </c>
      <c r="B145" s="246" t="inlineStr">
        <is>
          <t>o_stored_seed_loss</t>
        </is>
      </c>
      <c r="C145" s="247" t="inlineStr">
        <is>
          <t>How much stored seed/crop did the flood destroy/washed away in Kilogram?</t>
        </is>
      </c>
      <c r="D145" s="255" t="n"/>
      <c r="E145" s="255" t="n"/>
      <c r="F145" s="254" t="n"/>
      <c r="G145" s="254" t="n"/>
      <c r="H145" s="254" t="n"/>
      <c r="I145" s="248" t="inlineStr">
        <is>
          <t>true</t>
        </is>
      </c>
      <c r="J145" s="256" t="n"/>
      <c r="K145" s="256" t="n"/>
      <c r="L145" s="254" t="n"/>
      <c r="M145" s="249" t="inlineStr">
        <is>
          <t xml:space="preserve">${o_stored_seed_loss} = '1' </t>
        </is>
      </c>
      <c r="N145" s="256" t="n"/>
      <c r="O145" s="256" t="n"/>
      <c r="P145" s="256" t="n"/>
      <c r="Q145" s="254" t="n"/>
      <c r="R145" s="254" t="n"/>
      <c r="S145" s="254" t="n"/>
      <c r="T145" s="254" t="n"/>
      <c r="U145" s="254" t="n"/>
      <c r="V145" s="254" t="n"/>
      <c r="W145" s="279" t="n">
        <v>7</v>
      </c>
      <c r="X145" s="251" t="n">
        <v>0.91</v>
      </c>
      <c r="Y145" s="280">
        <f>IF(W145&lt;&gt;"",W145*X145,"")</f>
        <v/>
      </c>
      <c r="Z145" s="276" t="n"/>
      <c r="AA145" s="76" t="n"/>
    </row>
    <row r="146" customFormat="1" s="77">
      <c r="A146" s="77" t="inlineStr">
        <is>
          <t>select_multiple crop2</t>
        </is>
      </c>
      <c r="B146" s="77" t="inlineStr">
        <is>
          <t>crp_all</t>
        </is>
      </c>
      <c r="C146" s="78" t="inlineStr">
        <is>
          <t>Do you cultivate any other crops aside from ${crpmain}, and if so which ones?</t>
        </is>
      </c>
      <c r="D146" s="79" t="n"/>
      <c r="E146" s="79" t="n"/>
      <c r="F146" s="77" t="inlineStr">
        <is>
          <t>[INSTRUCTIONS: "No other crops" APPEARS AT THE END OF THE LIST OF OPTIONS. SELECT ALL CROPS LISTED BY THE RESPONDENT.]</t>
        </is>
      </c>
      <c r="G146" s="83" t="n"/>
      <c r="H146" s="83" t="n"/>
      <c r="I146" s="118" t="inlineStr">
        <is>
          <t>true</t>
        </is>
      </c>
      <c r="J146" s="118" t="inlineStr">
        <is>
          <t>autocomplete</t>
        </is>
      </c>
      <c r="K146" s="118" t="inlineStr">
        <is>
          <t>if(selected(., '888') or selected(., '999') or selected(.,'666'), count-selected(.) = 1, count-selected(.) &gt;= 1)</t>
        </is>
      </c>
      <c r="L146" s="118" t="n"/>
      <c r="M146" s="118" t="inlineStr">
        <is>
          <t>${crp_main} != '888' and ${crp_main} != '999' and ${crp_main} != '777'</t>
        </is>
      </c>
      <c r="N146" s="118" t="inlineStr">
        <is>
          <t>not(selected(${crp_main}, name))</t>
        </is>
      </c>
      <c r="O146" s="124" t="n"/>
      <c r="P146" s="124" t="n"/>
      <c r="Q146" s="45" t="n"/>
      <c r="U146" s="77" t="inlineStr">
        <is>
          <t>no</t>
        </is>
      </c>
      <c r="W146" s="275" t="n">
        <v>17</v>
      </c>
      <c r="X146" s="170">
        <f>'Additional information'!$D$18</f>
        <v/>
      </c>
      <c r="Y146" s="276">
        <f>IF(W146&lt;&gt;"",W146*X146,"")</f>
        <v/>
      </c>
      <c r="Z146" s="276">
        <f>IF(AND(W146&lt;&gt;"",U146="yes"),W146*X146,"")</f>
        <v/>
      </c>
      <c r="AA146" s="76" t="n"/>
    </row>
    <row r="147" customFormat="1" s="77">
      <c r="C147" s="78" t="n"/>
      <c r="D147" s="79" t="n"/>
      <c r="E147" s="79" t="n"/>
      <c r="G147" s="83" t="n"/>
      <c r="H147" s="83" t="n"/>
      <c r="I147" s="118" t="n"/>
      <c r="J147" s="118" t="n"/>
      <c r="K147" s="118" t="n"/>
      <c r="L147" s="118" t="n"/>
      <c r="M147" s="118" t="n"/>
      <c r="N147" s="118" t="n"/>
      <c r="O147" s="124" t="n"/>
      <c r="P147" s="124" t="n"/>
      <c r="Q147" s="45" t="n"/>
      <c r="W147" s="275" t="n"/>
      <c r="X147" s="170" t="n"/>
      <c r="Y147" s="276" t="n"/>
      <c r="Z147" s="276" t="n"/>
      <c r="AA147" s="76" t="n"/>
    </row>
    <row r="148">
      <c r="C148" s="45" t="n"/>
      <c r="D148" s="88" t="n"/>
      <c r="E148" s="88" t="n"/>
      <c r="G148" s="89" t="n"/>
      <c r="H148" s="89" t="n"/>
      <c r="M148" s="129" t="n"/>
      <c r="W148" s="275" t="inlineStr"/>
      <c r="X148" s="170">
        <f>'Additional information'!$D$18</f>
        <v/>
      </c>
      <c r="Y148" s="276">
        <f>IF(W148&lt;&gt;"",W148*X148,"")</f>
        <v/>
      </c>
      <c r="Z148" s="276">
        <f>IF(AND(W148&lt;&gt;"",U148="yes"),W148*X148,"")</f>
        <v/>
      </c>
    </row>
    <row r="149" ht="15" customHeight="1" thickBot="1">
      <c r="A149" s="102" t="inlineStr">
        <is>
          <t>end_group</t>
        </is>
      </c>
      <c r="B149" s="102" t="n"/>
      <c r="C149" s="103" t="n"/>
      <c r="D149" s="110" t="n"/>
      <c r="E149" s="110" t="n"/>
      <c r="F149" s="102" t="n"/>
      <c r="G149" s="111" t="n"/>
      <c r="H149" s="111" t="n"/>
      <c r="I149" s="130" t="n"/>
      <c r="J149" s="130" t="n"/>
      <c r="K149" s="130" t="n"/>
      <c r="L149" s="130" t="n"/>
      <c r="M149" s="130" t="n"/>
      <c r="N149" s="130" t="n"/>
      <c r="O149" s="130" t="n"/>
      <c r="P149" s="130" t="n"/>
      <c r="W149" s="275" t="inlineStr"/>
      <c r="Y149" s="276">
        <f>IF(W149&lt;&gt;"",W149*X149,"")</f>
        <v/>
      </c>
      <c r="Z149" s="276">
        <f>IF(AND(W149&lt;&gt;"",U149="yes"),W149*X149,"")</f>
        <v/>
      </c>
    </row>
    <row r="150" ht="15" customFormat="1" customHeight="1" s="73" thickTop="1">
      <c r="A150" s="70" t="inlineStr">
        <is>
          <t>begin_group</t>
        </is>
      </c>
      <c r="B150" s="70" t="inlineStr">
        <is>
          <t>CropSales_group</t>
        </is>
      </c>
      <c r="C150" s="94" t="inlineStr">
        <is>
          <t>CROP MARKETING</t>
        </is>
      </c>
      <c r="D150" s="71" t="n"/>
      <c r="E150" s="71" t="n"/>
      <c r="F150" s="70" t="n"/>
      <c r="G150" s="72" t="n"/>
      <c r="H150" s="72" t="n"/>
      <c r="I150" s="122" t="inlineStr">
        <is>
          <t>false</t>
        </is>
      </c>
      <c r="J150" s="122" t="n"/>
      <c r="K150" s="122" t="n"/>
      <c r="L150" s="122" t="n"/>
      <c r="M150" s="122" t="inlineStr">
        <is>
          <t>${resp_agree} = '1' and (${income_main}='1' or ${income_sec}='1' or ${income_third}='1' or ${income_main}='2' or ${income_sec}='2' or ${income_third}='2' or ${income_main}='3' or ${income_sec}='3' or ${income_third}='3')</t>
        </is>
      </c>
      <c r="N150" s="122" t="n"/>
      <c r="O150" s="122" t="n"/>
      <c r="P150" s="122" t="n"/>
      <c r="U150" s="45" t="inlineStr">
        <is>
          <t>yes</t>
        </is>
      </c>
      <c r="W150" s="275" t="n"/>
      <c r="X150" s="170" t="n"/>
      <c r="Y150" s="276">
        <f>IF(W150&lt;&gt;"",W150*X150,"")</f>
        <v/>
      </c>
      <c r="Z150" s="276">
        <f>IF(AND(W150&lt;&gt;"",U150="yes"),W150*X150,"")</f>
        <v/>
      </c>
      <c r="AA150" s="74" t="n"/>
    </row>
    <row r="151">
      <c r="A151" s="75" t="inlineStr">
        <is>
          <t>select_one yes_no</t>
        </is>
      </c>
      <c r="B151" s="75" t="inlineStr">
        <is>
          <t>crp_sales_main_1</t>
        </is>
      </c>
      <c r="C151" s="81" t="inlineStr">
        <is>
          <t xml:space="preserve">Was ${crpmain} the main crop that you sold over the *last 3 months*? </t>
        </is>
      </c>
      <c r="D151" s="88" t="n"/>
      <c r="E151" s="88" t="n"/>
      <c r="G151" s="89" t="n"/>
      <c r="H151" s="89" t="n"/>
      <c r="I151" s="119" t="inlineStr">
        <is>
          <t>true</t>
        </is>
      </c>
      <c r="J151" s="119" t="n"/>
      <c r="K151" s="119" t="n"/>
      <c r="L151" s="119" t="n"/>
      <c r="M151" s="119" t="n"/>
      <c r="N151" s="80" t="n"/>
      <c r="O151" s="119" t="n"/>
      <c r="P151" s="119" t="n"/>
      <c r="U151" s="45" t="inlineStr">
        <is>
          <t>yes</t>
        </is>
      </c>
      <c r="W151" s="275" t="n">
        <v>13.55</v>
      </c>
      <c r="X151" s="170">
        <f>'Additional information'!$D$18</f>
        <v/>
      </c>
      <c r="Y151" s="276">
        <f>IF(W151&lt;&gt;"",W151*X151,"")</f>
        <v/>
      </c>
      <c r="Z151" s="276" t="n"/>
    </row>
    <row r="152">
      <c r="A152" s="75" t="inlineStr">
        <is>
          <t>select_one crop3</t>
        </is>
      </c>
      <c r="B152" s="75" t="inlineStr">
        <is>
          <t>crp_sales_main_2</t>
        </is>
      </c>
      <c r="C152" s="44" t="inlineStr">
        <is>
          <t>What was the main crop that you sold over the *last 3 months*?</t>
        </is>
      </c>
      <c r="D152" s="88" t="n"/>
      <c r="E152" s="88" t="n"/>
      <c r="G152" s="89" t="n"/>
      <c r="H152" s="89" t="n"/>
      <c r="I152" s="119" t="inlineStr">
        <is>
          <t>true</t>
        </is>
      </c>
      <c r="J152" s="119" t="inlineStr">
        <is>
          <t>autocomplete</t>
        </is>
      </c>
      <c r="K152" s="119" t="n"/>
      <c r="L152" s="119" t="n"/>
      <c r="M152" s="119" t="inlineStr">
        <is>
          <t>${crp_sales_main_1}='2'</t>
        </is>
      </c>
      <c r="N152" s="119" t="inlineStr">
        <is>
          <t>not(selected(${crp_main}, name))</t>
        </is>
      </c>
      <c r="O152" s="119" t="n"/>
      <c r="P152" s="119" t="n"/>
      <c r="U152" s="45" t="inlineStr">
        <is>
          <t>yes</t>
        </is>
      </c>
      <c r="W152" s="275" t="n">
        <v>13.55</v>
      </c>
      <c r="X152" s="170">
        <f>'Additional information'!$D$18</f>
        <v/>
      </c>
      <c r="Y152" s="276">
        <f>IF(W152&lt;&gt;"",W152*X152,"")</f>
        <v/>
      </c>
      <c r="Z152" s="276" t="n"/>
    </row>
    <row r="153">
      <c r="A153" s="75" t="inlineStr">
        <is>
          <t>calculate</t>
        </is>
      </c>
      <c r="B153" s="75" t="inlineStr">
        <is>
          <t>crp_salesmain</t>
        </is>
      </c>
      <c r="C153" s="44" t="n"/>
      <c r="D153" s="88" t="n"/>
      <c r="E153" s="88" t="n"/>
      <c r="G153" s="89" t="n"/>
      <c r="H153" s="89" t="n"/>
      <c r="I153" s="119" t="n"/>
      <c r="J153" s="119" t="n"/>
      <c r="K153" s="119" t="n"/>
      <c r="L153" s="119" t="n"/>
      <c r="M153" s="119" t="n"/>
      <c r="N153" s="119" t="n"/>
      <c r="O153" s="119" t="n"/>
      <c r="P153" s="119" t="inlineStr">
        <is>
          <t>if(${crp_sales_main_1}='1',${crp_main},${crp_sales_main_2})</t>
        </is>
      </c>
      <c r="U153" s="45" t="inlineStr">
        <is>
          <t>yes</t>
        </is>
      </c>
      <c r="W153" s="275" t="n"/>
      <c r="X153" s="170">
        <f>'Additional information'!$D$18</f>
        <v/>
      </c>
      <c r="Y153" s="276" t="n"/>
      <c r="Z153" s="276" t="n"/>
    </row>
    <row r="154">
      <c r="A154" s="75" t="inlineStr">
        <is>
          <t>calculate</t>
        </is>
      </c>
      <c r="B154" s="75" t="inlineStr">
        <is>
          <t>crp_sales_main</t>
        </is>
      </c>
      <c r="C154" s="44" t="n"/>
      <c r="D154" s="88" t="n"/>
      <c r="E154" s="88" t="n"/>
      <c r="G154" s="89" t="n"/>
      <c r="H154" s="89" t="n"/>
      <c r="I154" s="119" t="n"/>
      <c r="J154" s="119" t="n"/>
      <c r="K154" s="119" t="n"/>
      <c r="L154" s="119" t="n"/>
      <c r="M154" s="119" t="n"/>
      <c r="N154" s="119" t="n"/>
      <c r="O154" s="119" t="n"/>
      <c r="P154" s="119" t="inlineStr">
        <is>
          <t>if(${crp_sales_main_1}='1',${crpmain},jr:choice-name(${crp_sales_main_2},'${crp_sales_main_2}'))</t>
        </is>
      </c>
      <c r="U154" s="45" t="inlineStr">
        <is>
          <t>yes</t>
        </is>
      </c>
      <c r="W154" s="275" t="n"/>
      <c r="X154" s="170">
        <f>'Additional information'!$D$18</f>
        <v/>
      </c>
      <c r="Y154" s="276" t="n"/>
      <c r="Z154" s="276" t="n"/>
    </row>
    <row r="155">
      <c r="D155" s="88" t="n"/>
      <c r="E155" s="88" t="n"/>
      <c r="G155" s="89" t="n"/>
      <c r="H155" s="89" t="n"/>
      <c r="W155" s="275" t="n"/>
      <c r="X155" s="170">
        <f>'Additional information'!$D$18</f>
        <v/>
      </c>
      <c r="Y155" s="276" t="n"/>
      <c r="Z155" s="276" t="n"/>
    </row>
    <row r="156" ht="28.8" customHeight="1">
      <c r="A156" s="75" t="inlineStr">
        <is>
          <t>select_one yes_no</t>
        </is>
      </c>
      <c r="B156" s="75" t="inlineStr">
        <is>
          <t>crp_salesdif</t>
        </is>
      </c>
      <c r="C156" s="44" t="inlineStr">
        <is>
          <t>Has your household faced any significant difficulty in the last 3 months **selling** your ${crp_sales_main}?</t>
        </is>
      </c>
      <c r="D156" s="88" t="n"/>
      <c r="E156" s="88" t="n"/>
      <c r="F156" s="100" t="n"/>
      <c r="G156" s="106" t="n"/>
      <c r="H156" s="106" t="n"/>
      <c r="I156" s="117" t="inlineStr">
        <is>
          <t>true</t>
        </is>
      </c>
      <c r="J156" s="117" t="n"/>
      <c r="K156" s="117" t="n"/>
      <c r="L156" s="117" t="n"/>
      <c r="M156" s="117" t="n"/>
      <c r="N156" s="117" t="n"/>
      <c r="O156" s="117" t="n"/>
      <c r="P156" s="117" t="n"/>
      <c r="U156" s="45" t="inlineStr">
        <is>
          <t>yes</t>
        </is>
      </c>
      <c r="W156" s="275" t="n">
        <v>12.68148708343506</v>
      </c>
      <c r="X156" s="170">
        <f>'Additional information'!$D$18</f>
        <v/>
      </c>
      <c r="Y156" s="276">
        <f>IF(W156&lt;&gt;"",W156*X156,"")</f>
        <v/>
      </c>
      <c r="Z156" s="276">
        <f>IF(AND(W156&lt;&gt;"",U156="yes"),W156*X156,"")</f>
        <v/>
      </c>
    </row>
    <row r="157" ht="28.8" customHeight="1">
      <c r="A157" s="75" t="inlineStr">
        <is>
          <t>select_multiple cropsalesdiff</t>
        </is>
      </c>
      <c r="B157" s="75" t="inlineStr">
        <is>
          <t>crp_saledif</t>
        </is>
      </c>
      <c r="C157" s="81" t="inlineStr">
        <is>
          <t xml:space="preserve">Which difficulties has your household faced in the last 3 months selling your ${crp_sales_main}? </t>
        </is>
      </c>
      <c r="D157" s="99" t="n"/>
      <c r="E157" s="99" t="n"/>
      <c r="F157" s="45" t="inlineStr">
        <is>
          <t>[INSTRUCTIONS: MULTIPLE RESPONSES POSSIBLE. SELECT OPTION(S) THAT BEST FIT THE INFORMATION PROVIDED BY THE RESPONDENTS.]</t>
        </is>
      </c>
      <c r="G157" s="89" t="n"/>
      <c r="H157" s="89" t="n"/>
      <c r="I157" s="117" t="inlineStr">
        <is>
          <t>true</t>
        </is>
      </c>
      <c r="J157" s="117" t="n"/>
      <c r="K157" s="119" t="inlineStr">
        <is>
          <t>if(selected(., 'dk') or selected(., 'ref'), count-selected(.) = 1, count-selected(.) &gt;= 1)</t>
        </is>
      </c>
      <c r="L157" s="117" t="n"/>
      <c r="M157" s="119" t="inlineStr">
        <is>
          <t xml:space="preserve">${crp_salesdif} = '1' </t>
        </is>
      </c>
      <c r="N157" s="117" t="n"/>
      <c r="O157" s="117" t="n"/>
      <c r="P157" s="117" t="n"/>
      <c r="U157" s="45" t="inlineStr">
        <is>
          <t>yes</t>
        </is>
      </c>
      <c r="W157" s="275" t="n">
        <v>22.61360931396484</v>
      </c>
      <c r="X157" s="170">
        <f>'Additional information'!$D$18</f>
        <v/>
      </c>
      <c r="Y157" s="276">
        <f>IF(W157&lt;&gt;"",W157*X157,"")</f>
        <v/>
      </c>
      <c r="Z157" s="276">
        <f>IF(AND(W157&lt;&gt;"",U157="yes"),W157*X157,"")</f>
        <v/>
      </c>
    </row>
    <row r="158">
      <c r="D158" s="88" t="n"/>
      <c r="E158" s="88" t="n"/>
      <c r="G158" s="89" t="n"/>
      <c r="H158" s="89" t="n"/>
      <c r="M158" s="129" t="n"/>
      <c r="U158" s="45" t="inlineStr"/>
      <c r="W158" s="275" t="inlineStr"/>
      <c r="X158" s="170">
        <f>'Additional information'!$D$18</f>
        <v/>
      </c>
      <c r="Y158" s="276">
        <f>IF(W158&lt;&gt;"",W158*X158,"")</f>
        <v/>
      </c>
      <c r="Z158" s="276">
        <f>IF(AND(W158&lt;&gt;"",U158="yes"),W158*X158,"")</f>
        <v/>
      </c>
    </row>
    <row r="159" ht="28.8" customHeight="1">
      <c r="A159" s="75" t="inlineStr">
        <is>
          <t>select_one change</t>
        </is>
      </c>
      <c r="B159" s="75" t="inlineStr">
        <is>
          <t>crp_salesprice</t>
        </is>
      </c>
      <c r="C159" s="81" t="inlineStr">
        <is>
          <t>How does the current price of your household's ${crp_sales_main} compare to the average price in the same period of last year?</t>
        </is>
      </c>
      <c r="D159" s="99" t="n"/>
      <c r="E159" s="99" t="n"/>
      <c r="F159" s="107" t="inlineStr">
        <is>
          <t>[INSTRUCTIONS: INSIST ON THE MAIN PRODUCT MENTIONED.]</t>
        </is>
      </c>
      <c r="G159" s="106" t="n"/>
      <c r="H159" s="106" t="n"/>
      <c r="I159" s="117" t="inlineStr">
        <is>
          <t>true</t>
        </is>
      </c>
      <c r="J159" s="117" t="n"/>
      <c r="K159" s="117" t="n"/>
      <c r="L159" s="117" t="n"/>
      <c r="M159" s="119" t="n"/>
      <c r="N159" s="117" t="n"/>
      <c r="O159" s="117" t="n"/>
      <c r="P159" s="117" t="n"/>
      <c r="U159" s="45" t="inlineStr">
        <is>
          <t>yes</t>
        </is>
      </c>
      <c r="W159" s="275" t="n">
        <v>21.70190811157227</v>
      </c>
      <c r="X159" s="170">
        <f>'Additional information'!$D$18</f>
        <v/>
      </c>
      <c r="Y159" s="276">
        <f>IF(W159&lt;&gt;"",W159*X159,"")</f>
        <v/>
      </c>
      <c r="Z159" s="276">
        <f>IF(AND(W159&lt;&gt;"",U159="yes"),W159*X159,"")</f>
        <v/>
      </c>
    </row>
    <row r="160">
      <c r="A160" s="246" t="inlineStr">
        <is>
          <t>select_one yes_no</t>
        </is>
      </c>
      <c r="B160" s="246" t="inlineStr">
        <is>
          <t>o_market_access</t>
        </is>
      </c>
      <c r="C160" s="267" t="inlineStr">
        <is>
          <t>Did the floods unable you to to access market to sell your products?</t>
        </is>
      </c>
      <c r="D160" s="267" t="n"/>
      <c r="E160" s="267" t="n"/>
      <c r="F160" s="268" t="n"/>
      <c r="G160" s="268" t="n"/>
      <c r="H160" s="268" t="n"/>
      <c r="I160" s="248" t="inlineStr">
        <is>
          <t>true</t>
        </is>
      </c>
      <c r="J160" s="248" t="n"/>
      <c r="K160" s="248" t="n"/>
      <c r="L160" s="248" t="n"/>
      <c r="M160" s="249" t="inlineStr">
        <is>
          <t xml:space="preserve">${affected_flood} = '1' </t>
        </is>
      </c>
      <c r="N160" s="248" t="n"/>
      <c r="O160" s="248" t="n"/>
      <c r="P160" s="248" t="n"/>
      <c r="Q160" s="246" t="n"/>
      <c r="R160" s="246" t="n"/>
      <c r="S160" s="246" t="n"/>
      <c r="T160" s="246" t="n"/>
      <c r="U160" s="246" t="inlineStr"/>
      <c r="V160" s="246" t="n"/>
      <c r="W160" s="279" t="n">
        <v>7</v>
      </c>
      <c r="X160" s="251">
        <f>'Additional information'!$D$18</f>
        <v/>
      </c>
      <c r="Y160" s="280">
        <f>IF(W160&lt;&gt;"",W160*X160,"")</f>
        <v/>
      </c>
      <c r="Z160" s="276">
        <f>IF(AND(W160&lt;&gt;"",U160="yes"),W160*X160,"")</f>
        <v/>
      </c>
    </row>
    <row r="161" ht="15" customHeight="1" thickBot="1">
      <c r="A161" s="102" t="inlineStr">
        <is>
          <t>end_group</t>
        </is>
      </c>
      <c r="B161" s="102" t="n"/>
      <c r="C161" s="103" t="n"/>
      <c r="D161" s="110" t="n"/>
      <c r="E161" s="110" t="n"/>
      <c r="F161" s="102" t="n"/>
      <c r="G161" s="111" t="n"/>
      <c r="H161" s="111" t="n"/>
      <c r="I161" s="130" t="n"/>
      <c r="J161" s="130" t="n"/>
      <c r="K161" s="130" t="n"/>
      <c r="L161" s="130" t="n"/>
      <c r="M161" s="130" t="n"/>
      <c r="N161" s="130" t="n"/>
      <c r="O161" s="130" t="n"/>
      <c r="P161" s="130" t="n"/>
      <c r="W161" s="275" t="inlineStr"/>
      <c r="Y161" s="276">
        <f>IF(W161&lt;&gt;"",W161*X161,"")</f>
        <v/>
      </c>
      <c r="Z161" s="276">
        <f>IF(AND(W161&lt;&gt;"",U161="yes"),W161*X161,"")</f>
        <v/>
      </c>
    </row>
    <row r="162" ht="15" customFormat="1" customHeight="1" s="73" thickTop="1">
      <c r="A162" s="70" t="inlineStr">
        <is>
          <t>begin_group</t>
        </is>
      </c>
      <c r="B162" s="70" t="inlineStr">
        <is>
          <t>Livestock_group</t>
        </is>
      </c>
      <c r="C162" s="94" t="inlineStr">
        <is>
          <t>LIVESTOCK PRODUCTION</t>
        </is>
      </c>
      <c r="D162" s="71" t="n"/>
      <c r="E162" s="71" t="n"/>
      <c r="F162" s="70" t="n"/>
      <c r="G162" s="72" t="n"/>
      <c r="H162" s="72" t="n"/>
      <c r="I162" s="122" t="inlineStr">
        <is>
          <t>false</t>
        </is>
      </c>
      <c r="J162" s="122" t="n"/>
      <c r="K162" s="122" t="n"/>
      <c r="L162" s="122" t="n"/>
      <c r="M162" s="122" t="inlineStr">
        <is>
          <t>${resp_agree} = '1' and (${hh_agricactivity}='2' or ${hh_agricactivity} = '3' or ${income_main_ls_check}='1' or ${income_sec_ls_check}='1' or ${income_third_ls_check}='1')</t>
        </is>
      </c>
      <c r="N162" s="122" t="n"/>
      <c r="O162" s="122" t="n"/>
      <c r="P162" s="122" t="n"/>
      <c r="U162" s="45" t="inlineStr">
        <is>
          <t>yes</t>
        </is>
      </c>
      <c r="W162" s="275" t="n"/>
      <c r="X162" s="74" t="n"/>
      <c r="Y162" s="276">
        <f>IF(W162&lt;&gt;"",W162*X162,"")</f>
        <v/>
      </c>
      <c r="Z162" s="276">
        <f>IF(AND(W162&lt;&gt;"",U162="yes"),W162*X162,"")</f>
        <v/>
      </c>
      <c r="AA162" s="74" t="n"/>
    </row>
    <row r="163" ht="28.8" customHeight="1">
      <c r="A163" s="75" t="inlineStr">
        <is>
          <t>note</t>
        </is>
      </c>
      <c r="B163" s="75" t="inlineStr">
        <is>
          <t>ls_intro</t>
        </is>
      </c>
      <c r="C163" s="44" t="inlineStr">
        <is>
          <t xml:space="preserve">We will now ask you some questions about livestock production which apply to you and anyone in your household that is involved in livestock production or sales. </t>
        </is>
      </c>
      <c r="D163" s="88" t="n"/>
      <c r="E163" s="88" t="n"/>
      <c r="F163" s="75" t="n"/>
      <c r="G163" s="89" t="n"/>
      <c r="H163" s="89" t="n"/>
      <c r="I163" s="117" t="n"/>
      <c r="J163" s="117" t="n"/>
      <c r="K163" s="117" t="n"/>
      <c r="L163" s="117" t="n"/>
      <c r="M163" s="117" t="n"/>
      <c r="N163" s="117" t="n"/>
      <c r="O163" s="117" t="n"/>
      <c r="P163" s="117" t="n"/>
      <c r="U163" s="45" t="inlineStr">
        <is>
          <t>yes</t>
        </is>
      </c>
      <c r="W163" s="275" t="n">
        <v>7.5</v>
      </c>
      <c r="X163" s="287">
        <f>'Additional information'!$D$19</f>
        <v/>
      </c>
      <c r="Y163" s="276">
        <f>IF(W163&lt;&gt;"",W163*X163,"")</f>
        <v/>
      </c>
      <c r="Z163" s="276">
        <f>IF(AND(W163&lt;&gt;"",U163="yes"),W163*X163,"")</f>
        <v/>
      </c>
    </row>
    <row r="164" customFormat="1" s="73">
      <c r="C164" s="95" t="n"/>
      <c r="D164" s="71" t="n"/>
      <c r="E164" s="71" t="n"/>
      <c r="G164" s="72" t="n"/>
      <c r="H164" s="72" t="n"/>
      <c r="I164" s="123" t="n"/>
      <c r="J164" s="123" t="n"/>
      <c r="K164" s="123" t="n"/>
      <c r="L164" s="123" t="n"/>
      <c r="M164" s="123" t="n"/>
      <c r="N164" s="123" t="n"/>
      <c r="O164" s="123" t="n"/>
      <c r="P164" s="123" t="n"/>
      <c r="U164" s="45" t="inlineStr"/>
      <c r="W164" s="275" t="inlineStr"/>
      <c r="X164" s="287">
        <f>'Additional information'!$D$19</f>
        <v/>
      </c>
      <c r="Y164" s="276">
        <f>IF(W164&lt;&gt;"",W164*X164,"")</f>
        <v/>
      </c>
      <c r="Z164" s="276">
        <f>IF(AND(W164&lt;&gt;"",U164="yes"),W164*X164,"")</f>
        <v/>
      </c>
      <c r="AA164" s="74" t="n"/>
    </row>
    <row r="165" ht="28.8" customHeight="1">
      <c r="A165" s="75" t="inlineStr">
        <is>
          <t>select_one lsmain</t>
        </is>
      </c>
      <c r="B165" s="75" t="inlineStr">
        <is>
          <t>ls_main</t>
        </is>
      </c>
      <c r="C165" s="44" t="inlineStr">
        <is>
          <t>What was the main animal raised by your household for food or income generation in the last 12 months?</t>
        </is>
      </c>
      <c r="D165" s="88" t="n"/>
      <c r="E165" s="88" t="n"/>
      <c r="F165" s="45" t="inlineStr">
        <is>
          <t>[INSTRUCTIONS: ASK ABOUT THE MOST IMPORTANT ANIMAL ONLY.] [HINT: DON'T FORGET TO PROBE ABOUT TRANSHUMANCE - MOVING LIVESTOCK FROM ONE GRAZING GROUND TO ANOTHER.]</t>
        </is>
      </c>
      <c r="G165" s="89" t="n"/>
      <c r="H165" s="89" t="n"/>
      <c r="I165" s="117" t="inlineStr">
        <is>
          <t>true</t>
        </is>
      </c>
      <c r="J165" s="117" t="inlineStr">
        <is>
          <t>minimal</t>
        </is>
      </c>
      <c r="K165" s="117" t="n"/>
      <c r="L165" s="117" t="n"/>
      <c r="M165" s="117" t="n"/>
      <c r="N165" s="117" t="n"/>
      <c r="O165" s="117" t="n"/>
      <c r="P165" s="117" t="n"/>
      <c r="U165" s="45" t="inlineStr">
        <is>
          <t>yes</t>
        </is>
      </c>
      <c r="W165" s="275" t="n">
        <v>20.2944221496582</v>
      </c>
      <c r="X165" s="287">
        <f>'Additional information'!$D$19</f>
        <v/>
      </c>
      <c r="Y165" s="276">
        <f>IF(W165&lt;&gt;"",W165*X165,"")</f>
        <v/>
      </c>
      <c r="Z165" s="276">
        <f>IF(AND(W165&lt;&gt;"",U165="yes"),W165*X165,"")</f>
        <v/>
      </c>
    </row>
    <row r="166">
      <c r="A166" s="75" t="inlineStr">
        <is>
          <t>calculate</t>
        </is>
      </c>
      <c r="B166" s="75" t="inlineStr">
        <is>
          <t>lsmain</t>
        </is>
      </c>
      <c r="C166" s="44" t="n"/>
      <c r="D166" s="88" t="n"/>
      <c r="E166" s="88" t="n"/>
      <c r="G166" s="89" t="n"/>
      <c r="H166" s="89" t="n"/>
      <c r="I166" s="117" t="n"/>
      <c r="J166" s="117" t="n"/>
      <c r="K166" s="117" t="n"/>
      <c r="L166" s="117" t="n"/>
      <c r="M166" s="117" t="n"/>
      <c r="N166" s="117" t="n"/>
      <c r="O166" s="117" t="n"/>
      <c r="P166" s="117" t="inlineStr">
        <is>
          <t>jr:choice-name(${ls_main},'${ls_main}')</t>
        </is>
      </c>
      <c r="U166" s="45" t="inlineStr">
        <is>
          <t>yes</t>
        </is>
      </c>
      <c r="W166" s="275" t="n"/>
      <c r="X166" s="287">
        <f>'Additional information'!$D$19</f>
        <v/>
      </c>
      <c r="Y166" s="276">
        <f>IF(W166&lt;&gt;"",W166*X166,"")</f>
        <v/>
      </c>
      <c r="Z166" s="276">
        <f>IF(AND(W166&lt;&gt;"",U166="yes"),W166*X166,"")</f>
        <v/>
      </c>
    </row>
    <row r="167">
      <c r="D167" s="88" t="n"/>
      <c r="E167" s="88" t="n"/>
      <c r="G167" s="89" t="n"/>
      <c r="H167" s="89" t="n"/>
      <c r="M167" s="129" t="n"/>
      <c r="U167" s="45" t="inlineStr"/>
      <c r="W167" s="275" t="inlineStr"/>
      <c r="X167" s="287">
        <f>'Additional information'!$D$19</f>
        <v/>
      </c>
      <c r="Y167" s="276">
        <f>IF(W167&lt;&gt;"",W167*X167,"")</f>
        <v/>
      </c>
      <c r="Z167" s="276">
        <f>IF(AND(W167&lt;&gt;"",U167="yes"),W167*X167,"")</f>
        <v/>
      </c>
    </row>
    <row r="168">
      <c r="A168" s="75" t="inlineStr">
        <is>
          <t>integer</t>
        </is>
      </c>
      <c r="B168" s="75" t="inlineStr">
        <is>
          <t>ls_num_lastyr</t>
        </is>
      </c>
      <c r="C168" s="44" t="inlineStr">
        <is>
          <t>How many ${lsmain} did you have at the same time last year?</t>
        </is>
      </c>
      <c r="D168" s="88" t="n"/>
      <c r="E168" s="88" t="n"/>
      <c r="F168" s="75" t="inlineStr">
        <is>
          <t>[INSTRUCTIONS: RECORD THE NUMBER OF ANIMALS. ENTER 888 FOR DON'T KNOW AND 999 FOR REFUSED.]</t>
        </is>
      </c>
      <c r="G168" s="89" t="n"/>
      <c r="H168" s="89" t="n"/>
      <c r="I168" s="117" t="inlineStr">
        <is>
          <t>true</t>
        </is>
      </c>
      <c r="J168" s="117" t="n"/>
      <c r="K168" s="117" t="inlineStr">
        <is>
          <t xml:space="preserve">. &gt;= 0 </t>
        </is>
      </c>
      <c r="L168" s="117" t="n"/>
      <c r="M168" s="117" t="inlineStr">
        <is>
          <t>${ls_main} != '10' or ${ls_main} != '11'</t>
        </is>
      </c>
      <c r="N168" s="117" t="n"/>
      <c r="O168" s="117" t="n"/>
      <c r="P168" s="117" t="n"/>
      <c r="U168" s="45" t="inlineStr">
        <is>
          <t>yes</t>
        </is>
      </c>
      <c r="W168" s="275" t="n">
        <v>18.53907775878906</v>
      </c>
      <c r="X168" s="287">
        <f>'Additional information'!$D$19</f>
        <v/>
      </c>
      <c r="Y168" s="276">
        <f>IF(W168&lt;&gt;"",W168*X168,"")</f>
        <v/>
      </c>
      <c r="Z168" s="276">
        <f>IF(AND(W168&lt;&gt;"",U168="yes"),W168*X168,"")</f>
        <v/>
      </c>
    </row>
    <row r="169">
      <c r="A169" s="75" t="inlineStr">
        <is>
          <t>integer</t>
        </is>
      </c>
      <c r="B169" s="75" t="inlineStr">
        <is>
          <t>ls_num_now</t>
        </is>
      </c>
      <c r="C169" s="44" t="inlineStr">
        <is>
          <t>How many ${lsmain} do you have now?</t>
        </is>
      </c>
      <c r="D169" s="88" t="n"/>
      <c r="E169" s="88" t="n"/>
      <c r="F169" s="75" t="inlineStr">
        <is>
          <t>[INSTRUCTIONS: RECORD THE NUMBER OF ANIMALS. ENTER 888 FOR DON'T KNOW AND 999 FOR REFUSED.]</t>
        </is>
      </c>
      <c r="G169" s="89" t="n"/>
      <c r="H169" s="89" t="n"/>
      <c r="I169" s="117" t="inlineStr">
        <is>
          <t>true</t>
        </is>
      </c>
      <c r="J169" s="117" t="n"/>
      <c r="K169" s="117" t="inlineStr">
        <is>
          <t xml:space="preserve">. &gt;= 0 </t>
        </is>
      </c>
      <c r="L169" s="117" t="n"/>
      <c r="M169" s="117" t="inlineStr">
        <is>
          <t>${ls_main} != '10' or ${ls_main} != '11'</t>
        </is>
      </c>
      <c r="N169" s="117" t="n"/>
      <c r="O169" s="117" t="n"/>
      <c r="P169" s="117" t="n"/>
      <c r="U169" s="45" t="inlineStr">
        <is>
          <t>yes</t>
        </is>
      </c>
      <c r="W169" s="275" t="n">
        <v>8.915891647338867</v>
      </c>
      <c r="X169" s="287">
        <f>'Additional information'!$D$19</f>
        <v/>
      </c>
      <c r="Y169" s="276">
        <f>IF(W169&lt;&gt;"",W169*X169,"")</f>
        <v/>
      </c>
      <c r="Z169" s="276">
        <f>IF(AND(W169&lt;&gt;"",U169="yes"),W169*X169,"")</f>
        <v/>
      </c>
    </row>
    <row r="170">
      <c r="A170" s="75" t="inlineStr">
        <is>
          <t>calculate</t>
        </is>
      </c>
      <c r="B170" s="75" t="inlineStr">
        <is>
          <t>ls_num_diff</t>
        </is>
      </c>
      <c r="C170" s="44" t="inlineStr">
        <is>
          <t xml:space="preserve">Change in ${lsmain}: </t>
        </is>
      </c>
      <c r="D170" s="88" t="n"/>
      <c r="E170" s="88" t="n"/>
      <c r="F170" s="75" t="n"/>
      <c r="G170" s="89" t="n"/>
      <c r="H170" s="89" t="n"/>
      <c r="I170" s="117" t="inlineStr">
        <is>
          <t>true</t>
        </is>
      </c>
      <c r="J170" s="117" t="n"/>
      <c r="K170" s="117" t="n"/>
      <c r="L170" s="117" t="n"/>
      <c r="M170" s="117" t="inlineStr">
        <is>
          <t>(${ls_main} != '10' or ${ls_main} != '11') and (${ls_num_lastyr} != '888' and ${ls_num_lastyr} != '999' and ${ls_num_now} != '888' and ${ls_num_now} != '999')</t>
        </is>
      </c>
      <c r="N170" s="117" t="n"/>
      <c r="O170" s="117" t="n"/>
      <c r="P170" s="117" t="inlineStr">
        <is>
          <t>${ls_num_now} - ${ls_num_lastyr}</t>
        </is>
      </c>
      <c r="U170" s="45" t="inlineStr">
        <is>
          <t>yes</t>
        </is>
      </c>
      <c r="W170" s="275" t="n"/>
      <c r="X170" s="287">
        <f>'Additional information'!$D$19</f>
        <v/>
      </c>
      <c r="Y170" s="276">
        <f>IF(W170&lt;&gt;"",W170*X170,"")</f>
        <v/>
      </c>
      <c r="Z170" s="276">
        <f>IF(AND(W170&lt;&gt;"",U170="yes"),W170*X170,"")</f>
        <v/>
      </c>
    </row>
    <row r="171">
      <c r="D171" s="88" t="n"/>
      <c r="E171" s="88" t="n"/>
      <c r="G171" s="89" t="n"/>
      <c r="H171" s="89" t="n"/>
      <c r="U171" s="45" t="inlineStr"/>
      <c r="W171" s="275" t="inlineStr"/>
      <c r="X171" s="287">
        <f>'Additional information'!$D$19</f>
        <v/>
      </c>
      <c r="Y171" s="276">
        <f>IF(W171&lt;&gt;"",W171*X171,"")</f>
        <v/>
      </c>
      <c r="Z171" s="276">
        <f>IF(AND(W171&lt;&gt;"",U171="yes"),W171*X171,"")</f>
        <v/>
      </c>
    </row>
    <row r="172">
      <c r="A172" s="75" t="inlineStr">
        <is>
          <t>select_multiple lsnum</t>
        </is>
      </c>
      <c r="B172" s="75" t="inlineStr">
        <is>
          <t>ls_num</t>
        </is>
      </c>
      <c r="C172" s="44" t="inlineStr">
        <is>
          <t>Why did the number of livestock change?</t>
        </is>
      </c>
      <c r="D172" s="88" t="n"/>
      <c r="E172" s="88" t="n"/>
      <c r="F172" s="45" t="inlineStr">
        <is>
          <t>[INSTRUCTIONS: MULTIPLE RESPONSES POSSIBLE.]</t>
        </is>
      </c>
      <c r="G172" s="89" t="n"/>
      <c r="H172" s="89" t="n"/>
      <c r="I172" s="117" t="inlineStr">
        <is>
          <t>true</t>
        </is>
      </c>
      <c r="J172" s="117" t="n"/>
      <c r="K172" s="117" t="inlineStr">
        <is>
          <t>if(selected(., 'inc_dec_dk') or selected(., 'inc_dec_ref'), count-selected(.) = 1, count-selected(.) &gt;= 1)</t>
        </is>
      </c>
      <c r="L172" s="117" t="n"/>
      <c r="M172" s="117" t="inlineStr">
        <is>
          <t>${ls_main} != '10' or ${ls_main} != '11'</t>
        </is>
      </c>
      <c r="N172" s="117" t="n"/>
      <c r="O172" s="117" t="n"/>
      <c r="P172" s="117" t="n"/>
      <c r="U172" s="45" t="inlineStr">
        <is>
          <t>yes</t>
        </is>
      </c>
      <c r="W172" s="275" t="n">
        <v>25.81001091003418</v>
      </c>
      <c r="X172" s="287">
        <f>'Additional information'!$D$19</f>
        <v/>
      </c>
      <c r="Y172" s="276">
        <f>IF(W172&lt;&gt;"",W172*X172,"")</f>
        <v/>
      </c>
      <c r="Z172" s="276">
        <f>IF(AND(W172&lt;&gt;"",U172="yes"),W172*X172,"")</f>
        <v/>
      </c>
    </row>
    <row r="173">
      <c r="D173" s="88" t="n"/>
      <c r="E173" s="88" t="n"/>
      <c r="G173" s="89" t="n"/>
      <c r="H173" s="89" t="n"/>
      <c r="M173" s="129" t="n"/>
      <c r="U173" s="45" t="inlineStr"/>
      <c r="W173" s="275" t="inlineStr"/>
      <c r="X173" s="287">
        <f>'Additional information'!$D$19</f>
        <v/>
      </c>
      <c r="Y173" s="276">
        <f>IF(W173&lt;&gt;"",W173*X173,"")</f>
        <v/>
      </c>
      <c r="Z173" s="276">
        <f>IF(AND(W173&lt;&gt;"",U173="yes"),W173*X173,"")</f>
        <v/>
      </c>
    </row>
    <row r="174" customFormat="1" s="77">
      <c r="A174" s="77" t="inlineStr">
        <is>
          <t>select_multiple lsfood</t>
        </is>
      </c>
      <c r="B174" s="77" t="inlineStr">
        <is>
          <t>ls_feed</t>
        </is>
      </c>
      <c r="C174" s="78" t="inlineStr">
        <is>
          <t xml:space="preserve">Where do you usually access feed for your ${lsmain}? </t>
        </is>
      </c>
      <c r="D174" s="79" t="n"/>
      <c r="E174" s="79" t="n"/>
      <c r="F174" s="77" t="inlineStr">
        <is>
          <t>[INSTRUCTIONS: MULTIPLE RESPONSES POSSIBLE.]</t>
        </is>
      </c>
      <c r="G174" s="83" t="n"/>
      <c r="H174" s="83" t="n"/>
      <c r="I174" s="118" t="inlineStr">
        <is>
          <t>true</t>
        </is>
      </c>
      <c r="J174" s="118" t="n"/>
      <c r="K174" s="118" t="inlineStr">
        <is>
          <t>if(selected(., 'dk') or selected(., 'ref'), count-selected(.) = 1, count-selected(.) &gt;= 1)</t>
        </is>
      </c>
      <c r="L174" s="118" t="n"/>
      <c r="M174" s="118" t="n"/>
      <c r="N174" s="118" t="n"/>
      <c r="O174" s="118" t="n"/>
      <c r="P174" s="118" t="n"/>
      <c r="U174" s="77" t="inlineStr">
        <is>
          <t>no</t>
        </is>
      </c>
      <c r="W174" s="275" t="n">
        <v>19.55319786071777</v>
      </c>
      <c r="X174" s="287">
        <f>'Additional information'!$D$19</f>
        <v/>
      </c>
      <c r="Y174" s="276">
        <f>IF(W174&lt;&gt;"",W174*X174,"")</f>
        <v/>
      </c>
      <c r="Z174" s="276">
        <f>IF(AND(W174&lt;&gt;"",U174="yes"),W174*X174,"")</f>
        <v/>
      </c>
      <c r="AA174" s="76" t="n"/>
    </row>
    <row r="175" customFormat="1" s="77">
      <c r="C175" s="78" t="n"/>
      <c r="D175" s="79" t="n"/>
      <c r="E175" s="79" t="n"/>
      <c r="G175" s="83" t="n"/>
      <c r="H175" s="83" t="n"/>
      <c r="I175" s="118" t="n"/>
      <c r="J175" s="118" t="n"/>
      <c r="K175" s="118" t="n"/>
      <c r="L175" s="118" t="n"/>
      <c r="M175" s="118" t="n"/>
      <c r="N175" s="118" t="n"/>
      <c r="O175" s="118" t="n"/>
      <c r="P175" s="118" t="n"/>
      <c r="U175" s="77" t="inlineStr"/>
      <c r="W175" s="275" t="inlineStr"/>
      <c r="X175" s="287">
        <f>'Additional information'!$D$19</f>
        <v/>
      </c>
      <c r="Y175" s="276">
        <f>IF(W175&lt;&gt;"",W175*X175,"")</f>
        <v/>
      </c>
      <c r="Z175" s="276">
        <f>IF(AND(W175&lt;&gt;"",U175="yes"),W175*X175,"")</f>
        <v/>
      </c>
      <c r="AA175" s="76" t="n"/>
    </row>
    <row r="176" ht="28.8" customHeight="1">
      <c r="A176" s="75" t="inlineStr">
        <is>
          <t>select_one yes_no</t>
        </is>
      </c>
      <c r="B176" s="75" t="inlineStr">
        <is>
          <t>ls_proddif</t>
        </is>
      </c>
      <c r="C176" s="44" t="inlineStr">
        <is>
          <t>Has your household faced any significant difficulty with livestock production over the last 3 months?</t>
        </is>
      </c>
      <c r="D176" s="88" t="n"/>
      <c r="E176" s="88" t="n"/>
      <c r="G176" s="89" t="n"/>
      <c r="H176" s="89" t="n"/>
      <c r="I176" s="117" t="inlineStr">
        <is>
          <t>true</t>
        </is>
      </c>
      <c r="J176" s="117" t="n"/>
      <c r="K176" s="117" t="n"/>
      <c r="L176" s="117" t="n"/>
      <c r="M176" s="119" t="n"/>
      <c r="N176" s="117" t="n"/>
      <c r="O176" s="117" t="n"/>
      <c r="P176" s="117" t="n"/>
      <c r="U176" s="45" t="inlineStr">
        <is>
          <t>yes</t>
        </is>
      </c>
      <c r="W176" s="275" t="n">
        <v>13.61331653594971</v>
      </c>
      <c r="X176" s="287">
        <f>'Additional information'!$D$19</f>
        <v/>
      </c>
      <c r="Y176" s="276">
        <f>IF(W176&lt;&gt;"",W176*X176,"")</f>
        <v/>
      </c>
      <c r="Z176" s="276">
        <f>IF(AND(W176&lt;&gt;"",U176="yes"),W176*X176,"")</f>
        <v/>
      </c>
    </row>
    <row r="177" ht="28.8" customHeight="1">
      <c r="A177" s="75" t="inlineStr">
        <is>
          <t>select_multiple lsproddiff</t>
        </is>
      </c>
      <c r="B177" s="75" t="inlineStr">
        <is>
          <t>ls_proddif_</t>
        </is>
      </c>
      <c r="C177" s="44" t="inlineStr">
        <is>
          <t>Which difficulties has your household faced with livestock production in the last 3 months?</t>
        </is>
      </c>
      <c r="D177" s="88" t="n"/>
      <c r="E177" s="88" t="n"/>
      <c r="F177" s="45" t="inlineStr">
        <is>
          <t>[INSTRUCTIONS: MULTIPLE RESPONSES POSSIBLE. SELECT OPTION(S) THAT BEST FIT THE INFORMATION PROVIDED BY THE RESPONDENTS.]</t>
        </is>
      </c>
      <c r="G177" s="89" t="n"/>
      <c r="H177" s="89" t="n"/>
      <c r="I177" s="117" t="inlineStr">
        <is>
          <t>true</t>
        </is>
      </c>
      <c r="J177" s="117" t="n"/>
      <c r="K177" s="119" t="inlineStr">
        <is>
          <t>if(selected(., 'dk') or selected(., 'ref'), count-selected(.) = 1, count-selected(.) &gt;= 1)</t>
        </is>
      </c>
      <c r="L177" s="117" t="n"/>
      <c r="M177" s="119" t="inlineStr">
        <is>
          <t>${ls_proddif}='1'</t>
        </is>
      </c>
      <c r="N177" s="117" t="n"/>
      <c r="O177" s="117" t="n"/>
      <c r="P177" s="117" t="n"/>
      <c r="U177" s="45" t="inlineStr">
        <is>
          <t>yes</t>
        </is>
      </c>
      <c r="W177" s="275" t="n">
        <v>27.75464820861816</v>
      </c>
      <c r="X177" s="287">
        <f>'Additional information'!$D$19</f>
        <v/>
      </c>
      <c r="Y177" s="276">
        <f>IF(W177&lt;&gt;"",W177*X177,"")</f>
        <v/>
      </c>
      <c r="Z177" s="276">
        <f>IF(AND(W177&lt;&gt;"",U177="yes"),W177*X177,"")</f>
        <v/>
      </c>
    </row>
    <row r="178">
      <c r="D178" s="88" t="n"/>
      <c r="E178" s="88" t="n"/>
      <c r="G178" s="89" t="n"/>
      <c r="H178" s="89" t="n"/>
      <c r="M178" s="129" t="n"/>
      <c r="U178" s="45" t="inlineStr"/>
      <c r="W178" s="275" t="inlineStr"/>
      <c r="X178" s="287">
        <f>'Additional information'!$D$19</f>
        <v/>
      </c>
      <c r="Y178" s="276">
        <f>IF(W178&lt;&gt;"",W178*X178,"")</f>
        <v/>
      </c>
      <c r="Z178" s="276">
        <f>IF(AND(W178&lt;&gt;"",U178="yes"),W178*X178,"")</f>
        <v/>
      </c>
    </row>
    <row r="179">
      <c r="A179" s="246" t="inlineStr">
        <is>
          <t>select_one o_pastures</t>
        </is>
      </c>
      <c r="B179" s="246" t="inlineStr">
        <is>
          <t>o_pasture</t>
        </is>
      </c>
      <c r="C179" s="259" t="inlineStr">
        <is>
          <t>How are pastures during the last 6 months compared to the usual?</t>
        </is>
      </c>
      <c r="D179" s="247" t="n"/>
      <c r="E179" s="247" t="n"/>
      <c r="F179" s="246" t="n"/>
      <c r="G179" s="246" t="n"/>
      <c r="H179" s="246" t="n"/>
      <c r="I179" s="256" t="inlineStr">
        <is>
          <t>true</t>
        </is>
      </c>
      <c r="J179" s="248" t="n"/>
      <c r="K179" s="248" t="n"/>
      <c r="L179" s="248" t="n"/>
      <c r="M179" s="249" t="n"/>
      <c r="N179" s="248" t="n"/>
      <c r="O179" s="248" t="n"/>
      <c r="P179" s="248" t="n"/>
      <c r="Q179" s="246" t="n"/>
      <c r="R179" s="246" t="n"/>
      <c r="S179" s="246" t="n"/>
      <c r="T179" s="246" t="n"/>
      <c r="U179" s="254" t="inlineStr">
        <is>
          <t>Yes</t>
        </is>
      </c>
      <c r="V179" s="246" t="n"/>
      <c r="W179" s="279" t="n">
        <v>7</v>
      </c>
      <c r="X179" s="288">
        <f>'[1]Additional information'!$D$19</f>
        <v/>
      </c>
      <c r="Y179" s="280">
        <f>IF(W179&lt;&gt;"",W179*X179,"")</f>
        <v/>
      </c>
      <c r="Z179" s="276" t="n"/>
    </row>
    <row r="180">
      <c r="A180" s="246" t="inlineStr">
        <is>
          <t>select_one yes_no</t>
        </is>
      </c>
      <c r="B180" s="246" t="inlineStr">
        <is>
          <t>o_animals_died</t>
        </is>
      </c>
      <c r="C180" s="259" t="inlineStr">
        <is>
          <t>Have some of your animals died because of the recent floods?</t>
        </is>
      </c>
      <c r="D180" s="247" t="n"/>
      <c r="E180" s="247" t="n"/>
      <c r="F180" s="246" t="n"/>
      <c r="G180" s="246" t="n"/>
      <c r="H180" s="246" t="n"/>
      <c r="I180" s="256" t="inlineStr">
        <is>
          <t>true</t>
        </is>
      </c>
      <c r="J180" s="248" t="n"/>
      <c r="K180" s="248" t="n"/>
      <c r="L180" s="248" t="n"/>
      <c r="M180" s="249" t="inlineStr">
        <is>
          <t xml:space="preserve">${affected_flood} = '1' </t>
        </is>
      </c>
      <c r="N180" s="248" t="n"/>
      <c r="O180" s="248" t="n"/>
      <c r="P180" s="248" t="n"/>
      <c r="Q180" s="246" t="n"/>
      <c r="R180" s="246" t="n"/>
      <c r="S180" s="246" t="n"/>
      <c r="T180" s="246" t="n"/>
      <c r="U180" s="254" t="n"/>
      <c r="V180" s="246" t="n"/>
      <c r="W180" s="279" t="n">
        <v>7</v>
      </c>
      <c r="X180" s="288">
        <f>'[1]Additional information'!$D$19</f>
        <v/>
      </c>
      <c r="Y180" s="280">
        <f>IF(W180&lt;&gt;"",W180*X180,"")</f>
        <v/>
      </c>
      <c r="Z180" s="276" t="n"/>
    </row>
    <row r="181">
      <c r="A181" s="246" t="inlineStr">
        <is>
          <t>select_one yes_no</t>
        </is>
      </c>
      <c r="B181" s="246" t="inlineStr">
        <is>
          <t>o_animals_sick</t>
        </is>
      </c>
      <c r="C181" s="259" t="inlineStr">
        <is>
          <t>Have some of your animals felt sick because of the recent floods?</t>
        </is>
      </c>
      <c r="D181" s="247" t="n"/>
      <c r="E181" s="247" t="n"/>
      <c r="F181" s="246" t="n"/>
      <c r="G181" s="246" t="n"/>
      <c r="H181" s="246" t="n"/>
      <c r="I181" s="256" t="inlineStr">
        <is>
          <t>true</t>
        </is>
      </c>
      <c r="J181" s="248" t="n"/>
      <c r="K181" s="248" t="n"/>
      <c r="L181" s="248" t="n"/>
      <c r="M181" s="249" t="inlineStr">
        <is>
          <t xml:space="preserve">${affected_flood} = '1' </t>
        </is>
      </c>
      <c r="N181" s="248" t="n"/>
      <c r="O181" s="248" t="n"/>
      <c r="P181" s="248" t="n"/>
      <c r="Q181" s="246" t="n"/>
      <c r="R181" s="246" t="n"/>
      <c r="S181" s="246" t="n"/>
      <c r="T181" s="246" t="n"/>
      <c r="U181" s="254" t="n"/>
      <c r="V181" s="246" t="n"/>
      <c r="W181" s="279" t="n">
        <v>7</v>
      </c>
      <c r="X181" s="288">
        <f>'[1]Additional information'!$D$19</f>
        <v/>
      </c>
      <c r="Y181" s="280">
        <f>IF(W181&lt;&gt;"",W181*X181,"")</f>
        <v/>
      </c>
      <c r="Z181" s="276" t="n"/>
    </row>
    <row r="182">
      <c r="A182" s="246" t="inlineStr">
        <is>
          <t>select_one yes_no</t>
        </is>
      </c>
      <c r="B182" s="246" t="inlineStr">
        <is>
          <t>o_animals_body_deteriorated</t>
        </is>
      </c>
      <c r="C182" s="259" t="inlineStr">
        <is>
          <t>Have some of your animals had a deteriorated body condition because of the recent floods?</t>
        </is>
      </c>
      <c r="D182" s="247" t="n"/>
      <c r="E182" s="247" t="n"/>
      <c r="F182" s="246" t="n"/>
      <c r="G182" s="246" t="n"/>
      <c r="H182" s="246" t="n"/>
      <c r="I182" s="256" t="inlineStr">
        <is>
          <t>true</t>
        </is>
      </c>
      <c r="J182" s="248" t="n"/>
      <c r="K182" s="248" t="n"/>
      <c r="L182" s="248" t="n"/>
      <c r="M182" s="249" t="inlineStr">
        <is>
          <t xml:space="preserve">${affected_flood} = '1' </t>
        </is>
      </c>
      <c r="N182" s="248" t="n"/>
      <c r="O182" s="248" t="n"/>
      <c r="P182" s="248" t="n"/>
      <c r="Q182" s="246" t="n"/>
      <c r="R182" s="246" t="n"/>
      <c r="S182" s="246" t="n"/>
      <c r="T182" s="246" t="n"/>
      <c r="U182" s="254" t="n"/>
      <c r="V182" s="246" t="n"/>
      <c r="W182" s="279" t="n">
        <v>7</v>
      </c>
      <c r="X182" s="288">
        <f>'[1]Additional information'!$D$19</f>
        <v/>
      </c>
      <c r="Y182" s="280">
        <f>IF(W182&lt;&gt;"",W182*X182,"")</f>
        <v/>
      </c>
      <c r="Z182" s="276" t="n"/>
    </row>
    <row r="183" customFormat="1" s="77">
      <c r="A183" s="77" t="inlineStr">
        <is>
          <t>select_multiple lsmain2</t>
        </is>
      </c>
      <c r="B183" s="77" t="inlineStr">
        <is>
          <t>ls_all</t>
        </is>
      </c>
      <c r="C183" s="78" t="inlineStr">
        <is>
          <t>Do you own any other livestock aside from ${lsmain}, and if so which ones?</t>
        </is>
      </c>
      <c r="D183" s="79" t="n"/>
      <c r="E183" s="79" t="n"/>
      <c r="F183" s="77" t="inlineStr">
        <is>
          <t>[INSTRUCTIONS: "No other livestock" APPEARS AT THE END OF THE LIST OF OPTIONS. SELECT ALL LIVESTOCK LISTED BY THE RESPONDENT.]</t>
        </is>
      </c>
      <c r="G183" s="83" t="n"/>
      <c r="H183" s="83" t="n"/>
      <c r="I183" s="118" t="inlineStr">
        <is>
          <t>true</t>
        </is>
      </c>
      <c r="J183" s="118" t="inlineStr">
        <is>
          <t>minimal</t>
        </is>
      </c>
      <c r="K183" s="118" t="inlineStr">
        <is>
          <t>if(selected(., '10') or selected(., '11') or selected(.,'666'), count-selected(.) = 1, count-selected(.) &gt;= 1)</t>
        </is>
      </c>
      <c r="L183" s="118" t="n"/>
      <c r="M183" s="118" t="inlineStr">
        <is>
          <t>${ls_main} != '10' and ${ls_main} != '11'</t>
        </is>
      </c>
      <c r="N183" s="118" t="inlineStr">
        <is>
          <t>not(selected(${ls_main}, name))</t>
        </is>
      </c>
      <c r="O183" s="124" t="n"/>
      <c r="P183" s="124" t="n"/>
      <c r="Q183" s="45" t="n"/>
      <c r="U183" s="77" t="inlineStr">
        <is>
          <t>no</t>
        </is>
      </c>
      <c r="W183" s="275" t="n">
        <v>17</v>
      </c>
      <c r="X183" s="287">
        <f>'Additional information'!$D$19</f>
        <v/>
      </c>
      <c r="Y183" s="276">
        <f>IF(W183&lt;&gt;"",W183*X183,"")</f>
        <v/>
      </c>
      <c r="Z183" s="276">
        <f>IF(AND(W183&lt;&gt;"",U183="yes"),W183*X183,"")</f>
        <v/>
      </c>
      <c r="AA183" s="76" t="n"/>
    </row>
    <row r="184">
      <c r="D184" s="88" t="n"/>
      <c r="E184" s="88" t="n"/>
      <c r="G184" s="89" t="n"/>
      <c r="H184" s="89" t="n"/>
      <c r="M184" s="129" t="n"/>
      <c r="U184" s="45" t="inlineStr"/>
      <c r="W184" s="275" t="inlineStr"/>
      <c r="X184" s="287">
        <f>'Additional information'!$D$19</f>
        <v/>
      </c>
      <c r="Y184" s="276">
        <f>IF(W184&lt;&gt;"",W184*X184,"")</f>
        <v/>
      </c>
      <c r="Z184" s="276">
        <f>IF(AND(W184&lt;&gt;"",U184="yes"),W184*X184,"")</f>
        <v/>
      </c>
    </row>
    <row r="185" ht="15" customHeight="1" thickBot="1">
      <c r="A185" s="102" t="inlineStr">
        <is>
          <t>end_group</t>
        </is>
      </c>
      <c r="B185" s="102" t="n"/>
      <c r="C185" s="103" t="n"/>
      <c r="D185" s="110" t="n"/>
      <c r="E185" s="110" t="n"/>
      <c r="F185" s="102" t="n"/>
      <c r="G185" s="111" t="n"/>
      <c r="H185" s="111" t="n"/>
      <c r="I185" s="130" t="n"/>
      <c r="J185" s="130" t="n"/>
      <c r="K185" s="130" t="n"/>
      <c r="L185" s="130" t="n"/>
      <c r="M185" s="130" t="n"/>
      <c r="N185" s="130" t="n"/>
      <c r="O185" s="130" t="n"/>
      <c r="P185" s="130" t="n"/>
      <c r="W185" s="275" t="inlineStr"/>
      <c r="X185" s="170" t="n"/>
      <c r="Y185" s="276">
        <f>IF(W185&lt;&gt;"",W185*X185,"")</f>
        <v/>
      </c>
      <c r="Z185" s="276">
        <f>IF(AND(W185&lt;&gt;"",U185="yes"),W185*X185,"")</f>
        <v/>
      </c>
    </row>
    <row r="186" ht="15" customFormat="1" customHeight="1" s="73" thickTop="1">
      <c r="A186" s="70" t="inlineStr">
        <is>
          <t>begin_group</t>
        </is>
      </c>
      <c r="B186" s="70" t="inlineStr">
        <is>
          <t>LivestockSales_group</t>
        </is>
      </c>
      <c r="C186" s="94" t="inlineStr">
        <is>
          <t xml:space="preserve">LIVESTOCK &amp; LIVESTOCK PRODUCT MARKETING </t>
        </is>
      </c>
      <c r="D186" s="71" t="n"/>
      <c r="E186" s="71" t="n"/>
      <c r="F186" s="70" t="n"/>
      <c r="G186" s="72" t="n"/>
      <c r="H186" s="72" t="n"/>
      <c r="I186" s="122" t="inlineStr">
        <is>
          <t>false</t>
        </is>
      </c>
      <c r="J186" s="122" t="n"/>
      <c r="K186" s="122" t="n"/>
      <c r="L186" s="122" t="n"/>
      <c r="M186" s="122" t="inlineStr">
        <is>
          <t>${resp_agree} = '1' and (${income_main}='4' or ${income_sec}='4' or ${income_third}='4')</t>
        </is>
      </c>
      <c r="N186" s="122" t="n"/>
      <c r="O186" s="122" t="n"/>
      <c r="P186" s="122" t="n"/>
      <c r="U186" s="45" t="inlineStr">
        <is>
          <t>yes</t>
        </is>
      </c>
      <c r="W186" s="275" t="n"/>
      <c r="X186" s="170" t="n"/>
      <c r="Y186" s="276">
        <f>IF(W186&lt;&gt;"",W186*X186,"")</f>
        <v/>
      </c>
      <c r="Z186" s="276">
        <f>IF(AND(W186&lt;&gt;"",U186="yes"),W186*X186,"")</f>
        <v/>
      </c>
      <c r="AA186" s="74" t="n"/>
    </row>
    <row r="187" customFormat="1" s="73">
      <c r="C187" s="95" t="n"/>
      <c r="D187" s="71" t="n"/>
      <c r="E187" s="71" t="n"/>
      <c r="G187" s="72" t="n"/>
      <c r="H187" s="72" t="n"/>
      <c r="I187" s="123" t="n"/>
      <c r="J187" s="123" t="n"/>
      <c r="K187" s="123" t="n"/>
      <c r="L187" s="123" t="n"/>
      <c r="M187" s="123" t="n"/>
      <c r="N187" s="123" t="n"/>
      <c r="O187" s="123" t="n"/>
      <c r="P187" s="123" t="n"/>
      <c r="U187" s="45" t="inlineStr"/>
      <c r="W187" s="275" t="inlineStr"/>
      <c r="X187" s="287">
        <f>'Additional information'!$D$19</f>
        <v/>
      </c>
      <c r="Y187" s="276">
        <f>IF(W187&lt;&gt;"",W187*X187,"")</f>
        <v/>
      </c>
      <c r="Z187" s="276">
        <f>IF(AND(W187&lt;&gt;"",U187="yes"),W187*X187,"")</f>
        <v/>
      </c>
      <c r="AA187" s="74" t="n"/>
    </row>
    <row r="188" ht="28.8" customFormat="1" customHeight="1" s="73">
      <c r="A188" s="75" t="inlineStr">
        <is>
          <t>select_one salesmain</t>
        </is>
      </c>
      <c r="B188" s="75" t="inlineStr">
        <is>
          <t>ls_salesmain</t>
        </is>
      </c>
      <c r="C188" s="44" t="inlineStr">
        <is>
          <t>What was the main livestock or livestock product sold by the household in the last 3 months?</t>
        </is>
      </c>
      <c r="D188" s="88" t="n"/>
      <c r="E188" s="88" t="n"/>
      <c r="F188" s="45" t="n"/>
      <c r="G188" s="89" t="n"/>
      <c r="H188" s="89" t="n"/>
      <c r="I188" s="117" t="inlineStr">
        <is>
          <t>true</t>
        </is>
      </c>
      <c r="J188" s="117" t="inlineStr">
        <is>
          <t>minimal</t>
        </is>
      </c>
      <c r="K188" s="122" t="n"/>
      <c r="L188" s="122" t="n"/>
      <c r="M188" s="122" t="n"/>
      <c r="N188" s="122" t="n"/>
      <c r="O188" s="122" t="n"/>
      <c r="P188" s="122" t="n"/>
      <c r="U188" s="45" t="inlineStr">
        <is>
          <t>yes</t>
        </is>
      </c>
      <c r="W188" s="275" t="n">
        <v>13.99939060211182</v>
      </c>
      <c r="X188" s="287">
        <f>'Additional information'!$D$19</f>
        <v/>
      </c>
      <c r="Y188" s="276">
        <f>IF(W188&lt;&gt;"",W188*X188,"")</f>
        <v/>
      </c>
      <c r="Z188" s="276">
        <f>IF(AND(W188&lt;&gt;"",U188="yes"),W188*X188,"")</f>
        <v/>
      </c>
      <c r="AA188" s="74" t="n"/>
    </row>
    <row r="189">
      <c r="A189" s="75" t="inlineStr">
        <is>
          <t>calculate</t>
        </is>
      </c>
      <c r="B189" s="75" t="inlineStr">
        <is>
          <t>lssalesmain</t>
        </is>
      </c>
      <c r="C189" s="44" t="n"/>
      <c r="D189" s="88" t="n"/>
      <c r="E189" s="88" t="n"/>
      <c r="G189" s="89" t="n"/>
      <c r="H189" s="89" t="n"/>
      <c r="I189" s="117" t="n"/>
      <c r="J189" s="117" t="n"/>
      <c r="K189" s="117" t="n"/>
      <c r="L189" s="117" t="n"/>
      <c r="M189" s="117" t="n"/>
      <c r="N189" s="117" t="n"/>
      <c r="O189" s="117" t="n"/>
      <c r="P189" s="117" t="inlineStr">
        <is>
          <t>jr:choice-name(${ls_salesmain},'${ls_salesmain}')</t>
        </is>
      </c>
      <c r="U189" s="45" t="inlineStr">
        <is>
          <t>yes</t>
        </is>
      </c>
      <c r="W189" s="275" t="n"/>
      <c r="X189" s="287">
        <f>'Additional information'!$D$19</f>
        <v/>
      </c>
      <c r="Y189" s="276">
        <f>IF(W189&lt;&gt;"",W189*X189,"")</f>
        <v/>
      </c>
      <c r="Z189" s="276">
        <f>IF(AND(W189&lt;&gt;"",U189="yes"),W189*X189,"")</f>
        <v/>
      </c>
    </row>
    <row r="190">
      <c r="D190" s="88" t="n"/>
      <c r="E190" s="88" t="n"/>
      <c r="G190" s="89" t="n"/>
      <c r="H190" s="89" t="n"/>
      <c r="U190" s="45" t="inlineStr"/>
      <c r="W190" s="275" t="inlineStr"/>
      <c r="X190" s="287">
        <f>'Additional information'!$D$19</f>
        <v/>
      </c>
      <c r="Y190" s="276">
        <f>IF(W190&lt;&gt;"",W190*X190,"")</f>
        <v/>
      </c>
      <c r="Z190" s="276">
        <f>IF(AND(W190&lt;&gt;"",U190="yes"),W190*X190,"")</f>
        <v/>
      </c>
    </row>
    <row r="191" ht="28.8" customHeight="1">
      <c r="A191" s="75" t="inlineStr">
        <is>
          <t>select_one yes_no</t>
        </is>
      </c>
      <c r="B191" s="75" t="inlineStr">
        <is>
          <t>ls_salesdif</t>
        </is>
      </c>
      <c r="C191" s="44" t="inlineStr">
        <is>
          <t>Has your household faced any significant difficulty in the last 3 months selling your ${lssalesmain}?</t>
        </is>
      </c>
      <c r="D191" s="88" t="n"/>
      <c r="E191" s="88" t="n"/>
      <c r="G191" s="89" t="n"/>
      <c r="H191" s="89" t="n"/>
      <c r="I191" s="117" t="inlineStr">
        <is>
          <t>true</t>
        </is>
      </c>
      <c r="J191" s="117" t="n"/>
      <c r="K191" s="117" t="n"/>
      <c r="L191" s="117" t="n"/>
      <c r="M191" s="117" t="n"/>
      <c r="N191" s="117" t="n"/>
      <c r="O191" s="117" t="n"/>
      <c r="P191" s="117" t="n"/>
      <c r="U191" s="45" t="inlineStr">
        <is>
          <t>yes</t>
        </is>
      </c>
      <c r="W191" s="275" t="n">
        <v>10.25279426574707</v>
      </c>
      <c r="X191" s="287">
        <f>'Additional information'!$D$19</f>
        <v/>
      </c>
      <c r="Y191" s="276">
        <f>IF(W191&lt;&gt;"",W191*X191,"")</f>
        <v/>
      </c>
      <c r="Z191" s="276">
        <f>IF(AND(W191&lt;&gt;"",U191="yes"),W191*X191,"")</f>
        <v/>
      </c>
    </row>
    <row r="192" ht="28.8" customHeight="1">
      <c r="A192" s="75" t="inlineStr">
        <is>
          <t>select_multiple lssalesdif</t>
        </is>
      </c>
      <c r="B192" s="75" t="inlineStr">
        <is>
          <t>ls_salesdif_</t>
        </is>
      </c>
      <c r="C192" s="44" t="inlineStr">
        <is>
          <t>What difficulties has your household faced in the last 3 months selling your ${lssalesmain}?</t>
        </is>
      </c>
      <c r="D192" s="88" t="n"/>
      <c r="E192" s="88" t="n"/>
      <c r="F192" s="45" t="inlineStr">
        <is>
          <t>[INSTRUCTIONS: MULTIPLE RESPONSES POSSIBLE. SELECT OPTION(S) THAT BEST FIT THE INFORMATION PROVIDED BY THE RESPONDENTS.]</t>
        </is>
      </c>
      <c r="G192" s="89" t="n"/>
      <c r="H192" s="89" t="n"/>
      <c r="I192" s="117" t="inlineStr">
        <is>
          <t>true</t>
        </is>
      </c>
      <c r="J192" s="117" t="n"/>
      <c r="K192" s="119" t="inlineStr">
        <is>
          <t>if(selected(., 'dk') or selected(., 'ref'), count-selected(.) = 1, count-selected(.) &gt;= 1)</t>
        </is>
      </c>
      <c r="L192" s="119" t="n"/>
      <c r="M192" s="119" t="inlineStr">
        <is>
          <t xml:space="preserve">${ls_salesdif} = '1' </t>
        </is>
      </c>
      <c r="N192" s="117" t="n"/>
      <c r="O192" s="117" t="n"/>
      <c r="P192" s="117" t="n"/>
      <c r="U192" s="45" t="inlineStr">
        <is>
          <t>yes</t>
        </is>
      </c>
      <c r="W192" s="275" t="n">
        <v>24.19434356689453</v>
      </c>
      <c r="X192" s="287">
        <f>'Additional information'!$D$19</f>
        <v/>
      </c>
      <c r="Y192" s="276">
        <f>IF(W192&lt;&gt;"",W192*X192,"")</f>
        <v/>
      </c>
      <c r="Z192" s="276">
        <f>IF(AND(W192&lt;&gt;"",U192="yes"),W192*X192,"")</f>
        <v/>
      </c>
    </row>
    <row r="193">
      <c r="D193" s="88" t="n"/>
      <c r="E193" s="88" t="n"/>
      <c r="G193" s="89" t="n"/>
      <c r="H193" s="89" t="n"/>
      <c r="M193" s="129" t="n"/>
      <c r="U193" s="45" t="inlineStr"/>
      <c r="W193" s="275" t="inlineStr"/>
      <c r="X193" s="287">
        <f>'Additional information'!$D$19</f>
        <v/>
      </c>
      <c r="Y193" s="276">
        <f>IF(W193&lt;&gt;"",W193*X193,"")</f>
        <v/>
      </c>
      <c r="Z193" s="276">
        <f>IF(AND(W193&lt;&gt;"",U193="yes"),W193*X193,"")</f>
        <v/>
      </c>
    </row>
    <row r="194" ht="28.8" customHeight="1">
      <c r="A194" s="75" t="inlineStr">
        <is>
          <t>select_one change</t>
        </is>
      </c>
      <c r="B194" s="75" t="inlineStr">
        <is>
          <t>ls_salesprice</t>
        </is>
      </c>
      <c r="C194" s="81" t="inlineStr">
        <is>
          <t>How does the current price of your household's ${lssalesmain} compare to the average price in the same period of last year?</t>
        </is>
      </c>
      <c r="D194" s="88" t="n"/>
      <c r="E194" s="88" t="n"/>
      <c r="F194" s="75" t="inlineStr">
        <is>
          <t>[INSTRUCTIONS: INSIST ON THE MAIN PRODUCT MENTIONED.]</t>
        </is>
      </c>
      <c r="G194" s="89" t="n"/>
      <c r="H194" s="89" t="n"/>
      <c r="I194" s="117" t="inlineStr">
        <is>
          <t>true</t>
        </is>
      </c>
      <c r="J194" s="117" t="n"/>
      <c r="K194" s="117" t="n"/>
      <c r="L194" s="117" t="n"/>
      <c r="M194" s="119" t="n"/>
      <c r="N194" s="117" t="n"/>
      <c r="O194" s="117" t="n"/>
      <c r="P194" s="117" t="n"/>
      <c r="U194" s="45" t="inlineStr">
        <is>
          <t>yes</t>
        </is>
      </c>
      <c r="W194" s="275" t="n">
        <v>19.32173728942871</v>
      </c>
      <c r="X194" s="287">
        <f>'Additional information'!$D$19</f>
        <v/>
      </c>
      <c r="Y194" s="276">
        <f>IF(W194&lt;&gt;"",W194*X194,"")</f>
        <v/>
      </c>
      <c r="Z194" s="276">
        <f>IF(AND(W194&lt;&gt;"",U194="yes"),W194*X194,"")</f>
        <v/>
      </c>
    </row>
    <row r="195">
      <c r="C195" s="47" t="n"/>
      <c r="D195" s="88" t="n"/>
      <c r="E195" s="88" t="n"/>
      <c r="G195" s="89" t="n"/>
      <c r="H195" s="89" t="n"/>
      <c r="M195" s="129" t="n"/>
      <c r="U195" s="45" t="inlineStr"/>
      <c r="W195" s="275" t="inlineStr"/>
      <c r="X195" s="287">
        <f>'Additional information'!$D$19</f>
        <v/>
      </c>
      <c r="Y195" s="276">
        <f>IF(W195&lt;&gt;"",W195*X195,"")</f>
        <v/>
      </c>
      <c r="Z195" s="276">
        <f>IF(AND(W195&lt;&gt;"",U195="yes"),W195*X195,"")</f>
        <v/>
      </c>
    </row>
    <row r="196" ht="15" customHeight="1" thickBot="1">
      <c r="A196" s="102" t="inlineStr">
        <is>
          <t>end_group</t>
        </is>
      </c>
      <c r="B196" s="102" t="n"/>
      <c r="C196" s="103" t="n"/>
      <c r="D196" s="110" t="n"/>
      <c r="E196" s="110" t="n"/>
      <c r="F196" s="102" t="n"/>
      <c r="G196" s="111" t="n"/>
      <c r="H196" s="111" t="n"/>
      <c r="I196" s="130" t="n"/>
      <c r="J196" s="130" t="n"/>
      <c r="K196" s="130" t="n"/>
      <c r="L196" s="130" t="n"/>
      <c r="M196" s="130" t="n"/>
      <c r="N196" s="130" t="n"/>
      <c r="O196" s="130" t="n"/>
      <c r="P196" s="130" t="n"/>
      <c r="W196" s="275" t="inlineStr"/>
      <c r="Y196" s="276">
        <f>IF(W196&lt;&gt;"",W196*X196,"")</f>
        <v/>
      </c>
      <c r="Z196" s="276">
        <f>IF(AND(W196&lt;&gt;"",U196="yes"),W196*X196,"")</f>
        <v/>
      </c>
    </row>
    <row r="197" ht="15" customFormat="1" customHeight="1" s="73" thickTop="1">
      <c r="A197" s="70" t="inlineStr">
        <is>
          <t>begin_group</t>
        </is>
      </c>
      <c r="B197" s="70" t="inlineStr">
        <is>
          <t>Fishing_group</t>
        </is>
      </c>
      <c r="C197" s="94" t="inlineStr">
        <is>
          <t>FISHING / AQUACULTURE PRODUCTION</t>
        </is>
      </c>
      <c r="D197" s="71" t="n"/>
      <c r="E197" s="71" t="n"/>
      <c r="F197" s="70" t="n"/>
      <c r="G197" s="72" t="n"/>
      <c r="H197" s="72" t="n"/>
      <c r="I197" s="122" t="inlineStr">
        <is>
          <t>false</t>
        </is>
      </c>
      <c r="J197" s="122" t="n"/>
      <c r="K197" s="122" t="n"/>
      <c r="L197" s="122" t="n"/>
      <c r="M197" s="122" t="inlineStr">
        <is>
          <t>${resp_agree} = '1' and (${income_main_fish_check}='1' or ${income_sec_fish_check}='1' or ${income_third_fish_check}='1' or ${hh_fish}='1')</t>
        </is>
      </c>
      <c r="N197" s="122" t="n"/>
      <c r="O197" s="122" t="n"/>
      <c r="P197" s="122" t="n"/>
      <c r="U197" s="45" t="inlineStr">
        <is>
          <t>yes</t>
        </is>
      </c>
      <c r="W197" s="275" t="n"/>
      <c r="X197" s="74" t="n"/>
      <c r="Y197" s="276">
        <f>IF(W197&lt;&gt;"",W197*X197,"")</f>
        <v/>
      </c>
      <c r="Z197" s="276">
        <f>IF(AND(W197&lt;&gt;"",U197="yes"),W197*X197,"")</f>
        <v/>
      </c>
      <c r="AA197" s="74" t="n"/>
    </row>
    <row r="198" ht="43.2" customFormat="1" customHeight="1" s="76">
      <c r="A198" s="80" t="inlineStr">
        <is>
          <t>note</t>
        </is>
      </c>
      <c r="B198" s="80" t="inlineStr">
        <is>
          <t>fish_intro</t>
        </is>
      </c>
      <c r="C198" s="81" t="inlineStr">
        <is>
          <t>We will now ask you some questions about fishing and aquaculture production which apply to you and anyone in your household that is involved in the capture, culture, or harvest of fish and aquatic products.</t>
        </is>
      </c>
      <c r="D198" s="99" t="n"/>
      <c r="E198" s="99" t="n"/>
      <c r="G198" s="101" t="n"/>
      <c r="H198" s="101" t="n"/>
      <c r="I198" s="119" t="n"/>
      <c r="J198" s="119" t="n"/>
      <c r="K198" s="119" t="n"/>
      <c r="L198" s="119" t="n"/>
      <c r="M198" s="119" t="n"/>
      <c r="N198" s="119" t="n"/>
      <c r="O198" s="119" t="n"/>
      <c r="P198" s="119" t="n"/>
      <c r="U198" s="76" t="inlineStr">
        <is>
          <t>yes</t>
        </is>
      </c>
      <c r="W198" s="275" t="n">
        <v>7.5</v>
      </c>
      <c r="X198" s="287">
        <f>'Additional information'!$D$20</f>
        <v/>
      </c>
      <c r="Y198" s="276">
        <f>IF(W198&lt;&gt;"",W198*X198,"")</f>
        <v/>
      </c>
      <c r="Z198" s="276">
        <f>IF(AND(W198&lt;&gt;"",U198="yes"),W198*X198,"")</f>
        <v/>
      </c>
    </row>
    <row r="199" customFormat="1" s="73">
      <c r="C199" s="95" t="n"/>
      <c r="D199" s="71" t="n"/>
      <c r="E199" s="71" t="n"/>
      <c r="G199" s="72" t="n"/>
      <c r="H199" s="72" t="n"/>
      <c r="I199" s="123" t="n"/>
      <c r="J199" s="123" t="n"/>
      <c r="K199" s="123" t="n"/>
      <c r="L199" s="123" t="n"/>
      <c r="M199" s="123" t="n"/>
      <c r="N199" s="123" t="n"/>
      <c r="O199" s="123" t="n"/>
      <c r="P199" s="123" t="n"/>
      <c r="U199" s="45" t="inlineStr"/>
      <c r="W199" s="275" t="inlineStr"/>
      <c r="X199" s="287">
        <f>'Additional information'!$D$20</f>
        <v/>
      </c>
      <c r="Y199" s="276">
        <f>IF(W199&lt;&gt;"",W199*X199,"")</f>
        <v/>
      </c>
      <c r="Z199" s="276">
        <f>IF(AND(W199&lt;&gt;"",U199="yes"),W199*X199,"")</f>
        <v/>
      </c>
      <c r="AA199" s="74" t="n"/>
    </row>
    <row r="200">
      <c r="A200" s="75" t="inlineStr">
        <is>
          <t>select_multiple fishactivity</t>
        </is>
      </c>
      <c r="B200" s="75" t="inlineStr">
        <is>
          <t>fish_main</t>
        </is>
      </c>
      <c r="C200" s="44" t="inlineStr">
        <is>
          <t>What type of fishing activity does your household generally practice?</t>
        </is>
      </c>
      <c r="D200" s="88" t="n"/>
      <c r="E200" s="88" t="n"/>
      <c r="F200" s="45" t="inlineStr">
        <is>
          <t>[INSTRUCTIONS: MUTIPLE RESPONSES POSSIBLE.]</t>
        </is>
      </c>
      <c r="G200" s="89" t="n"/>
      <c r="H200" s="89" t="n"/>
      <c r="I200" s="117" t="inlineStr">
        <is>
          <t>true</t>
        </is>
      </c>
      <c r="J200" s="117" t="n"/>
      <c r="K200" s="117" t="inlineStr">
        <is>
          <t>if(selected(., 'dk') or selected(., 'ref'), count-selected(.) = 1, count-selected(.) &gt;= 1)</t>
        </is>
      </c>
      <c r="L200" s="117" t="n"/>
      <c r="M200" s="117" t="n"/>
      <c r="N200" s="117" t="n"/>
      <c r="O200" s="117" t="n"/>
      <c r="P200" s="117" t="n"/>
      <c r="U200" s="45" t="inlineStr">
        <is>
          <t>yes</t>
        </is>
      </c>
      <c r="W200" s="275" t="n">
        <v>19.09011650085449</v>
      </c>
      <c r="X200" s="287">
        <f>'Additional information'!$D$20</f>
        <v/>
      </c>
      <c r="Y200" s="276">
        <f>IF(W200&lt;&gt;"",W200*X200,"")</f>
        <v/>
      </c>
      <c r="Z200" s="276">
        <f>IF(AND(W200&lt;&gt;"",U200="yes"),W200*X200,"")</f>
        <v/>
      </c>
    </row>
    <row r="201">
      <c r="D201" s="88" t="n"/>
      <c r="E201" s="88" t="n"/>
      <c r="G201" s="89" t="n"/>
      <c r="H201" s="89" t="n"/>
      <c r="U201" s="45" t="inlineStr"/>
      <c r="W201" s="275" t="inlineStr"/>
      <c r="X201" s="287">
        <f>'Additional information'!$D$20</f>
        <v/>
      </c>
      <c r="Y201" s="276">
        <f>IF(W201&lt;&gt;"",W201*X201,"")</f>
        <v/>
      </c>
      <c r="Z201" s="276">
        <f>IF(AND(W201&lt;&gt;"",U201="yes"),W201*X201,"")</f>
        <v/>
      </c>
    </row>
    <row r="202" ht="28.8" customHeight="1">
      <c r="A202" s="75" t="inlineStr">
        <is>
          <t>select_one change</t>
        </is>
      </c>
      <c r="B202" s="75" t="inlineStr">
        <is>
          <t>fish_change</t>
        </is>
      </c>
      <c r="C202" s="44" t="inlineStr">
        <is>
          <t>How does your fish catch [farmed] in the last 3 months [last harvest] compare to the same period [harvest] last year?</t>
        </is>
      </c>
      <c r="D202" s="88" t="n"/>
      <c r="E202" s="88" t="n"/>
      <c r="G202" s="89" t="n"/>
      <c r="H202" s="89" t="n"/>
      <c r="I202" s="117" t="inlineStr">
        <is>
          <t>true</t>
        </is>
      </c>
      <c r="J202" s="117" t="n"/>
      <c r="K202" s="117" t="n"/>
      <c r="L202" s="117" t="n"/>
      <c r="M202" s="117" t="n"/>
      <c r="N202" s="117" t="n"/>
      <c r="O202" s="117" t="n"/>
      <c r="P202" s="117" t="n"/>
      <c r="U202" s="45" t="inlineStr">
        <is>
          <t>yes</t>
        </is>
      </c>
      <c r="W202" s="275" t="n">
        <v>17.6569766998291</v>
      </c>
      <c r="X202" s="287">
        <f>'Additional information'!$D$20</f>
        <v/>
      </c>
      <c r="Y202" s="276">
        <f>IF(W202&lt;&gt;"",W202*X202,"")</f>
        <v/>
      </c>
      <c r="Z202" s="276">
        <f>IF(AND(W202&lt;&gt;"",U202="yes"),W202*X202,"")</f>
        <v/>
      </c>
    </row>
    <row r="203">
      <c r="D203" s="88" t="n"/>
      <c r="E203" s="88" t="n"/>
      <c r="G203" s="89" t="n"/>
      <c r="H203" s="89" t="n"/>
      <c r="U203" s="45" t="inlineStr"/>
      <c r="W203" s="275" t="inlineStr"/>
      <c r="X203" s="287">
        <f>'Additional information'!$D$20</f>
        <v/>
      </c>
      <c r="Y203" s="276">
        <f>IF(W203&lt;&gt;"",W203*X203,"")</f>
        <v/>
      </c>
      <c r="Z203" s="276">
        <f>IF(AND(W203&lt;&gt;"",U203="yes"),W203*X203,"")</f>
        <v/>
      </c>
    </row>
    <row r="204" ht="28.8" customHeight="1">
      <c r="A204" s="75" t="inlineStr">
        <is>
          <t>select_one yes_no</t>
        </is>
      </c>
      <c r="B204" s="75" t="inlineStr">
        <is>
          <t>fish_proddif</t>
        </is>
      </c>
      <c r="C204" s="44" t="inlineStr">
        <is>
          <t>Has your household faced any significant difficulty with fish catch / harvest / farming in the last 3 months?</t>
        </is>
      </c>
      <c r="D204" s="88" t="n"/>
      <c r="E204" s="88" t="n"/>
      <c r="G204" s="89" t="n"/>
      <c r="H204" s="89" t="n"/>
      <c r="I204" s="117" t="inlineStr">
        <is>
          <t>true</t>
        </is>
      </c>
      <c r="J204" s="117" t="n"/>
      <c r="K204" s="117" t="n"/>
      <c r="L204" s="117" t="n"/>
      <c r="M204" s="117" t="n"/>
      <c r="N204" s="117" t="n"/>
      <c r="O204" s="117" t="n"/>
      <c r="P204" s="117" t="n"/>
      <c r="U204" s="45" t="inlineStr">
        <is>
          <t>yes</t>
        </is>
      </c>
      <c r="W204" s="285" t="n">
        <v>8.764705657958984</v>
      </c>
      <c r="X204" s="287">
        <f>'Additional information'!$D$20</f>
        <v/>
      </c>
      <c r="Y204" s="276">
        <f>IF(W204&lt;&gt;"",W204*X204,"")</f>
        <v/>
      </c>
      <c r="Z204" s="276">
        <f>IF(AND(W204&lt;&gt;"",U204="yes"),W204*X204,"")</f>
        <v/>
      </c>
    </row>
    <row r="205" ht="28.8" customHeight="1">
      <c r="A205" s="75" t="inlineStr">
        <is>
          <t>select_multiple fishproddiff</t>
        </is>
      </c>
      <c r="B205" s="75" t="inlineStr">
        <is>
          <t>fish_proddif_</t>
        </is>
      </c>
      <c r="C205" s="44" t="inlineStr">
        <is>
          <t>Which difficulties has your household faced with fish catch / harvest / farming in the last 3 months?</t>
        </is>
      </c>
      <c r="D205" s="88" t="n"/>
      <c r="E205" s="88" t="n"/>
      <c r="F205" s="45" t="inlineStr">
        <is>
          <t>[INSTRUCTIONS: MULTIPLE RESPONSES POSSIBLE. SELECT OPTION(S) THAT BEST FIT THE INFORMATION PROVIDED BY THE RESPONDENTS.]</t>
        </is>
      </c>
      <c r="G205" s="89" t="n"/>
      <c r="H205" s="89" t="n"/>
      <c r="I205" s="117" t="n"/>
      <c r="J205" s="117" t="n"/>
      <c r="K205" s="119" t="inlineStr">
        <is>
          <t>if(selected(., 'dk') or selected(., 'ref'), count-selected(.) = 1, count-selected(.) &gt;= 1)</t>
        </is>
      </c>
      <c r="L205" s="117" t="n"/>
      <c r="M205" s="119" t="inlineStr">
        <is>
          <t>${fish_proddif}='1'</t>
        </is>
      </c>
      <c r="N205" s="117" t="n"/>
      <c r="O205" s="117" t="n"/>
      <c r="P205" s="117" t="n"/>
      <c r="U205" s="45" t="inlineStr">
        <is>
          <t>yes</t>
        </is>
      </c>
      <c r="W205" s="285" t="n">
        <v>27.9538459777832</v>
      </c>
      <c r="X205" s="287">
        <f>'Additional information'!$D$20</f>
        <v/>
      </c>
      <c r="Y205" s="276">
        <f>IF(W205&lt;&gt;"",W205*X205,"")</f>
        <v/>
      </c>
      <c r="Z205" s="276">
        <f>IF(AND(W205&lt;&gt;"",U205="yes"),W205*X205,"")</f>
        <v/>
      </c>
    </row>
    <row r="206">
      <c r="A206" s="75" t="inlineStr">
        <is>
          <t>text</t>
        </is>
      </c>
      <c r="B206" s="75" t="inlineStr">
        <is>
          <t>fish_proddif_otherspecify</t>
        </is>
      </c>
      <c r="C206" s="81" t="inlineStr">
        <is>
          <t>If other, specify.</t>
        </is>
      </c>
      <c r="D206" s="99" t="n"/>
      <c r="E206" s="99" t="n"/>
      <c r="F206" s="76" t="inlineStr">
        <is>
          <t>[INSTRUCTIONS: RECORD THE OPEN RESPONSE GIVEN IN FEW WORDS. ENTER 888 FOR DON'T KNOW AND 999 FOR REFUSED]</t>
        </is>
      </c>
      <c r="G206" s="89" t="n"/>
      <c r="H206" s="89" t="n"/>
      <c r="I206" s="117" t="inlineStr">
        <is>
          <t>true</t>
        </is>
      </c>
      <c r="J206" s="117" t="n"/>
      <c r="K206" s="117" t="n"/>
      <c r="L206" s="117" t="n"/>
      <c r="M206" s="117" t="inlineStr">
        <is>
          <t>${fish_proddif} = '1' and selected(${fish_proddif_}, 'other')</t>
        </is>
      </c>
      <c r="N206" s="117" t="n"/>
      <c r="O206" s="117" t="n"/>
      <c r="P206" s="117" t="n"/>
      <c r="U206" s="45" t="inlineStr">
        <is>
          <t>yes</t>
        </is>
      </c>
      <c r="W206" s="275" t="n"/>
      <c r="X206" s="287">
        <f>'Additional information'!$D$20</f>
        <v/>
      </c>
      <c r="Y206" s="276">
        <f>IF(W206&lt;&gt;"",W206*X206,"")</f>
        <v/>
      </c>
      <c r="Z206" s="276">
        <f>IF(AND(W206&lt;&gt;"",U206="yes"),W206*X206,"")</f>
        <v/>
      </c>
    </row>
    <row r="207">
      <c r="D207" s="88" t="n"/>
      <c r="E207" s="88" t="n"/>
      <c r="G207" s="89" t="n"/>
      <c r="H207" s="89" t="n"/>
      <c r="U207" s="45" t="inlineStr"/>
      <c r="W207" s="275" t="inlineStr"/>
      <c r="X207" s="287">
        <f>'Additional information'!$D$20</f>
        <v/>
      </c>
      <c r="Y207" s="276">
        <f>IF(W207&lt;&gt;"",W207*X207,"")</f>
        <v/>
      </c>
      <c r="Z207" s="276">
        <f>IF(AND(W207&lt;&gt;"",U207="yes"),W207*X207,"")</f>
        <v/>
      </c>
    </row>
    <row r="208" ht="28.8" customFormat="1" customHeight="1" s="77">
      <c r="A208" s="77" t="inlineStr">
        <is>
          <t>select_multiple fishinput</t>
        </is>
      </c>
      <c r="B208" s="77" t="inlineStr">
        <is>
          <t>fish_inputdif</t>
        </is>
      </c>
      <c r="C208" s="78" t="inlineStr">
        <is>
          <t>Which fishing [culture] input material has your household had difficulties accessing in the last 3 months?</t>
        </is>
      </c>
      <c r="D208" s="79" t="n"/>
      <c r="E208" s="79" t="n"/>
      <c r="F208" s="77" t="inlineStr">
        <is>
          <t>[INSTRUCTIONS: MUTIPLE RESPONSES POSSIBLE.]</t>
        </is>
      </c>
      <c r="G208" s="83" t="n"/>
      <c r="H208" s="83" t="n"/>
      <c r="I208" s="118" t="inlineStr">
        <is>
          <t>true</t>
        </is>
      </c>
      <c r="J208" s="118" t="n"/>
      <c r="K208" s="118" t="inlineStr">
        <is>
          <t>if(selected(., 'dk') or selected(., 'ref'), count-selected(.) = 1, count-selected(.) &gt;= 1)</t>
        </is>
      </c>
      <c r="L208" s="118" t="n"/>
      <c r="M208" s="118" t="inlineStr">
        <is>
          <t>${fish_proddif} = '1' and selected(${fish_proddif_}, 'input_access')</t>
        </is>
      </c>
      <c r="N208" s="118" t="n"/>
      <c r="O208" s="118" t="n"/>
      <c r="P208" s="118" t="n"/>
      <c r="U208" s="77" t="inlineStr">
        <is>
          <t>no</t>
        </is>
      </c>
      <c r="W208" s="275" t="n">
        <v>21.25</v>
      </c>
      <c r="X208" s="287">
        <f>'Additional information'!$D$20</f>
        <v/>
      </c>
      <c r="Y208" s="276">
        <f>IF(W208&lt;&gt;"",W208*X208,"")</f>
        <v/>
      </c>
      <c r="Z208" s="276">
        <f>IF(AND(W208&lt;&gt;"",U208="yes"),W208*X208,"")</f>
        <v/>
      </c>
      <c r="AA208" s="76" t="n"/>
    </row>
    <row r="209" customFormat="1" s="77">
      <c r="A209" s="77" t="inlineStr">
        <is>
          <t>text</t>
        </is>
      </c>
      <c r="B209" s="77" t="inlineStr">
        <is>
          <t>fish_inputdif_otherspecify</t>
        </is>
      </c>
      <c r="C209" s="78" t="inlineStr">
        <is>
          <t>If other, specify.</t>
        </is>
      </c>
      <c r="D209" s="79" t="n"/>
      <c r="E209" s="79" t="n"/>
      <c r="F209" s="77" t="inlineStr">
        <is>
          <t>[INSTRUCTIONS: RECORD THE OPEN RESPONSE GIVEN IN FEW WORDS. ENTER 888 FOR DON'T KNOW AND 999 FOR REFUSED]</t>
        </is>
      </c>
      <c r="G209" s="83" t="n"/>
      <c r="H209" s="83" t="n"/>
      <c r="I209" s="118" t="inlineStr">
        <is>
          <t>true</t>
        </is>
      </c>
      <c r="J209" s="118" t="n"/>
      <c r="K209" s="118" t="n"/>
      <c r="L209" s="118" t="n"/>
      <c r="M209" s="118" t="inlineStr">
        <is>
          <t>${fish_inputdif} = 'other'</t>
        </is>
      </c>
      <c r="N209" s="118" t="n"/>
      <c r="O209" s="118" t="n"/>
      <c r="P209" s="118" t="n"/>
      <c r="U209" s="77" t="inlineStr">
        <is>
          <t>no</t>
        </is>
      </c>
      <c r="W209" s="275" t="n"/>
      <c r="X209" s="287">
        <f>'Additional information'!$D$20</f>
        <v/>
      </c>
      <c r="Y209" s="276">
        <f>IF(W209&lt;&gt;"",W209*X209,"")</f>
        <v/>
      </c>
      <c r="Z209" s="276">
        <f>IF(AND(W209&lt;&gt;"",U209="yes"),W209*X209,"")</f>
        <v/>
      </c>
      <c r="AA209" s="76" t="n"/>
    </row>
    <row r="210" customFormat="1" s="77">
      <c r="C210" s="78" t="n"/>
      <c r="D210" s="79" t="n"/>
      <c r="E210" s="79" t="n"/>
      <c r="G210" s="83" t="n"/>
      <c r="H210" s="83" t="n"/>
      <c r="I210" s="118" t="n"/>
      <c r="J210" s="118" t="n"/>
      <c r="K210" s="118" t="n"/>
      <c r="L210" s="118" t="n"/>
      <c r="M210" s="118" t="n"/>
      <c r="N210" s="118" t="n"/>
      <c r="O210" s="118" t="n"/>
      <c r="P210" s="118" t="n"/>
      <c r="U210" s="77" t="inlineStr"/>
      <c r="W210" s="275" t="inlineStr"/>
      <c r="X210" s="287">
        <f>'Additional information'!$D$20</f>
        <v/>
      </c>
      <c r="Y210" s="276">
        <f>IF(W210&lt;&gt;"",W210*X210,"")</f>
        <v/>
      </c>
      <c r="Z210" s="276">
        <f>IF(AND(W210&lt;&gt;"",U210="yes"),W210*X210,"")</f>
        <v/>
      </c>
      <c r="AA210" s="76" t="n"/>
    </row>
    <row r="211" ht="15" customHeight="1" thickBot="1">
      <c r="A211" s="97" t="inlineStr">
        <is>
          <t>end_group</t>
        </is>
      </c>
      <c r="B211" s="97" t="n"/>
      <c r="C211" s="98" t="n"/>
      <c r="D211" s="92" t="n"/>
      <c r="E211" s="92" t="n"/>
      <c r="F211" s="97" t="n"/>
      <c r="G211" s="93" t="n"/>
      <c r="H211" s="93" t="n"/>
      <c r="I211" s="128" t="n"/>
      <c r="J211" s="128" t="n"/>
      <c r="K211" s="128" t="n"/>
      <c r="L211" s="128" t="n"/>
      <c r="M211" s="128" t="n"/>
      <c r="N211" s="128" t="n"/>
      <c r="O211" s="128" t="n"/>
      <c r="P211" s="128" t="n"/>
      <c r="W211" s="275" t="inlineStr"/>
      <c r="Y211" s="276">
        <f>IF(W211&lt;&gt;"",W211*X211,"")</f>
        <v/>
      </c>
      <c r="Z211" s="276">
        <f>IF(AND(W211&lt;&gt;"",U211="yes"),W211*X211,"")</f>
        <v/>
      </c>
    </row>
    <row r="212" ht="15" customFormat="1" customHeight="1" s="73" thickTop="1">
      <c r="A212" s="70" t="inlineStr">
        <is>
          <t>begin_group</t>
        </is>
      </c>
      <c r="B212" s="70" t="inlineStr">
        <is>
          <t>FishSales_group</t>
        </is>
      </c>
      <c r="C212" s="94" t="inlineStr">
        <is>
          <t xml:space="preserve">FISHING / AQUACULTURE MARKETING </t>
        </is>
      </c>
      <c r="D212" s="71" t="n"/>
      <c r="E212" s="71" t="n"/>
      <c r="F212" s="70" t="n"/>
      <c r="G212" s="72" t="n"/>
      <c r="H212" s="72" t="n"/>
      <c r="I212" s="122" t="inlineStr">
        <is>
          <t>false</t>
        </is>
      </c>
      <c r="J212" s="122" t="n"/>
      <c r="K212" s="122" t="n"/>
      <c r="L212" s="122" t="n"/>
      <c r="M212" s="122" t="inlineStr">
        <is>
          <t>${resp_agree} = '1' and (${income_main}='6' or ${income_sec}='6' or ${income_third}='6')</t>
        </is>
      </c>
      <c r="N212" s="122" t="n"/>
      <c r="O212" s="122" t="n"/>
      <c r="P212" s="122" t="n"/>
      <c r="U212" s="45" t="inlineStr">
        <is>
          <t>yes</t>
        </is>
      </c>
      <c r="W212" s="275" t="n"/>
      <c r="X212" s="74" t="n"/>
      <c r="Y212" s="276">
        <f>IF(W212&lt;&gt;"",W212*X212,"")</f>
        <v/>
      </c>
      <c r="Z212" s="276">
        <f>IF(AND(W212&lt;&gt;"",U212="yes"),W212*X212,"")</f>
        <v/>
      </c>
      <c r="AA212" s="74" t="n"/>
    </row>
    <row r="213" customFormat="1" s="73">
      <c r="C213" s="95" t="n"/>
      <c r="D213" s="71" t="n"/>
      <c r="E213" s="71" t="n"/>
      <c r="G213" s="72" t="n"/>
      <c r="H213" s="72" t="n"/>
      <c r="I213" s="123" t="n"/>
      <c r="J213" s="123" t="n"/>
      <c r="K213" s="123" t="n"/>
      <c r="L213" s="123" t="n"/>
      <c r="M213" s="123" t="n"/>
      <c r="N213" s="123" t="n"/>
      <c r="O213" s="123" t="n"/>
      <c r="P213" s="123" t="n"/>
      <c r="U213" s="45" t="inlineStr"/>
      <c r="W213" s="275" t="inlineStr"/>
      <c r="X213" s="287">
        <f>'Additional information'!$D$20</f>
        <v/>
      </c>
      <c r="Y213" s="276">
        <f>IF(W213&lt;&gt;"",W213*X213,"")</f>
        <v/>
      </c>
      <c r="Z213" s="276">
        <f>IF(AND(W213&lt;&gt;"",U213="yes"),W213*X213,"")</f>
        <v/>
      </c>
      <c r="AA213" s="74" t="n"/>
    </row>
    <row r="214" customFormat="1" s="73">
      <c r="A214" s="75" t="inlineStr">
        <is>
          <t>select_one fishsales</t>
        </is>
      </c>
      <c r="B214" s="75" t="inlineStr">
        <is>
          <t>fish_salesmain</t>
        </is>
      </c>
      <c r="C214" s="44" t="inlineStr">
        <is>
          <t>What was the main fish or aquatic product sold by your household in the last 3 months?</t>
        </is>
      </c>
      <c r="D214" s="88" t="n"/>
      <c r="E214" s="88" t="n"/>
      <c r="F214" s="75" t="n"/>
      <c r="G214" s="89" t="n"/>
      <c r="H214" s="89" t="n"/>
      <c r="I214" s="117" t="inlineStr">
        <is>
          <t>true</t>
        </is>
      </c>
      <c r="J214" s="122" t="n"/>
      <c r="K214" s="122" t="n"/>
      <c r="L214" s="122" t="n"/>
      <c r="M214" s="122" t="n"/>
      <c r="N214" s="122" t="n"/>
      <c r="O214" s="122" t="n"/>
      <c r="P214" s="122" t="n"/>
      <c r="U214" s="45" t="inlineStr">
        <is>
          <t>yes</t>
        </is>
      </c>
      <c r="W214" s="275" t="n">
        <v>14.38495540618896</v>
      </c>
      <c r="X214" s="287">
        <f>'Additional information'!$D$20</f>
        <v/>
      </c>
      <c r="Y214" s="276">
        <f>IF(W214&lt;&gt;"",W214*X214,"")</f>
        <v/>
      </c>
      <c r="Z214" s="276">
        <f>IF(AND(W214&lt;&gt;"",U214="yes"),W214*X214,"")</f>
        <v/>
      </c>
      <c r="AA214" s="74" t="n"/>
    </row>
    <row r="215">
      <c r="A215" s="75" t="inlineStr">
        <is>
          <t>calculate</t>
        </is>
      </c>
      <c r="B215" s="75" t="inlineStr">
        <is>
          <t>fishsalesmain</t>
        </is>
      </c>
      <c r="C215" s="44" t="n"/>
      <c r="D215" s="88" t="n"/>
      <c r="E215" s="88" t="n"/>
      <c r="F215" s="75" t="n"/>
      <c r="G215" s="89" t="n"/>
      <c r="H215" s="89" t="n"/>
      <c r="I215" s="117" t="n"/>
      <c r="J215" s="117" t="n"/>
      <c r="K215" s="117" t="n"/>
      <c r="L215" s="117" t="n"/>
      <c r="M215" s="117" t="n"/>
      <c r="N215" s="117" t="n"/>
      <c r="O215" s="117" t="n"/>
      <c r="P215" s="117" t="inlineStr">
        <is>
          <t>jr:choice-name(${fish_salesmain},'${fish_salesmain}')</t>
        </is>
      </c>
      <c r="U215" s="45" t="inlineStr">
        <is>
          <t>yes</t>
        </is>
      </c>
      <c r="W215" s="275" t="n"/>
      <c r="X215" s="287">
        <f>'Additional information'!$D$20</f>
        <v/>
      </c>
      <c r="Y215" s="276">
        <f>IF(W215&lt;&gt;"",W215*X215,"")</f>
        <v/>
      </c>
      <c r="Z215" s="276">
        <f>IF(AND(W215&lt;&gt;"",U215="yes"),W215*X215,"")</f>
        <v/>
      </c>
    </row>
    <row r="216">
      <c r="A216" s="75" t="inlineStr">
        <is>
          <t>text</t>
        </is>
      </c>
      <c r="B216" s="75" t="inlineStr">
        <is>
          <t>fish_salesmain_otherspecify</t>
        </is>
      </c>
      <c r="C216" s="81" t="inlineStr">
        <is>
          <t>If other, specify.</t>
        </is>
      </c>
      <c r="D216" s="99" t="n"/>
      <c r="E216" s="99" t="n"/>
      <c r="F216" s="76" t="inlineStr">
        <is>
          <t>[INSTRUCTIONS: RECORD THE OPEN RESPONSE GIVEN IN FEW WORDS. ENTER 888 FOR DON'T KNOW AND 999 FOR REFUSED]</t>
        </is>
      </c>
      <c r="G216" s="89" t="n"/>
      <c r="H216" s="89" t="n"/>
      <c r="I216" s="117" t="inlineStr">
        <is>
          <t>true</t>
        </is>
      </c>
      <c r="J216" s="117" t="n"/>
      <c r="K216" s="117" t="n"/>
      <c r="L216" s="117" t="n"/>
      <c r="M216" s="119" t="inlineStr">
        <is>
          <t>selected(${fish_salesmain} , '5')</t>
        </is>
      </c>
      <c r="N216" s="117" t="n"/>
      <c r="O216" s="117" t="n"/>
      <c r="P216" s="117" t="n"/>
      <c r="U216" s="45" t="inlineStr">
        <is>
          <t>yes</t>
        </is>
      </c>
      <c r="W216" s="275" t="n"/>
      <c r="X216" s="287">
        <f>'Additional information'!$D$20</f>
        <v/>
      </c>
      <c r="Y216" s="276">
        <f>IF(W216&lt;&gt;"",W216*X216,"")</f>
        <v/>
      </c>
      <c r="Z216" s="276">
        <f>IF(AND(W216&lt;&gt;"",U216="yes"),W216*X216,"")</f>
        <v/>
      </c>
    </row>
    <row r="217">
      <c r="D217" s="88" t="n"/>
      <c r="E217" s="88" t="n"/>
      <c r="G217" s="89" t="n"/>
      <c r="H217" s="89" t="n"/>
      <c r="M217" s="129" t="n"/>
      <c r="U217" s="45" t="inlineStr"/>
      <c r="W217" s="275" t="inlineStr"/>
      <c r="X217" s="287">
        <f>'Additional information'!$D$20</f>
        <v/>
      </c>
      <c r="Y217" s="276">
        <f>IF(W217&lt;&gt;"",W217*X217,"")</f>
        <v/>
      </c>
      <c r="Z217" s="276">
        <f>IF(AND(W217&lt;&gt;"",U217="yes"),W217*X217,"")</f>
        <v/>
      </c>
    </row>
    <row r="218" ht="28.8" customHeight="1">
      <c r="A218" s="75" t="inlineStr">
        <is>
          <t>select_one yes_no</t>
        </is>
      </c>
      <c r="B218" s="75" t="inlineStr">
        <is>
          <t>fish_salesdif</t>
        </is>
      </c>
      <c r="C218" s="44" t="inlineStr">
        <is>
          <t>Has your household faced any significant difficulty marketing / selling your ${fishsalesmain} in the last 3 months?</t>
        </is>
      </c>
      <c r="D218" s="88" t="n"/>
      <c r="E218" s="88" t="n"/>
      <c r="F218" s="75" t="n"/>
      <c r="G218" s="89" t="n"/>
      <c r="H218" s="89" t="n"/>
      <c r="I218" s="117" t="inlineStr">
        <is>
          <t>true</t>
        </is>
      </c>
      <c r="J218" s="117" t="n"/>
      <c r="K218" s="117" t="n"/>
      <c r="L218" s="117" t="n"/>
      <c r="M218" s="117" t="n"/>
      <c r="N218" s="117" t="n"/>
      <c r="O218" s="117" t="n"/>
      <c r="P218" s="117" t="n"/>
      <c r="U218" s="45" t="inlineStr">
        <is>
          <t>yes</t>
        </is>
      </c>
      <c r="W218" s="275" t="n">
        <v>9.438053131103516</v>
      </c>
      <c r="X218" s="287">
        <f>'Additional information'!$D$20</f>
        <v/>
      </c>
      <c r="Y218" s="276">
        <f>IF(W218&lt;&gt;"",W218*X218,"")</f>
        <v/>
      </c>
      <c r="Z218" s="276">
        <f>IF(AND(W218&lt;&gt;"",U218="yes"),W218*X218,"")</f>
        <v/>
      </c>
    </row>
    <row r="219" ht="28.8" customHeight="1">
      <c r="A219" s="75" t="inlineStr">
        <is>
          <t>select_multiple fishsalesdif</t>
        </is>
      </c>
      <c r="B219" s="75" t="inlineStr">
        <is>
          <t>fish_saledif</t>
        </is>
      </c>
      <c r="C219" s="44" t="inlineStr">
        <is>
          <t>What difficulties has your household faced in the last 3 months selling your ${fishsalesmain}?</t>
        </is>
      </c>
      <c r="D219" s="88" t="n"/>
      <c r="E219" s="88" t="n"/>
      <c r="F219" s="75" t="inlineStr">
        <is>
          <t>[INSTRUCTIONS: MULTIPLE RESPONSES POSSIBLE.]</t>
        </is>
      </c>
      <c r="G219" s="89" t="n"/>
      <c r="H219" s="89" t="n"/>
      <c r="I219" s="117" t="inlineStr">
        <is>
          <t>true</t>
        </is>
      </c>
      <c r="J219" s="117" t="n"/>
      <c r="K219" s="119" t="inlineStr">
        <is>
          <t>if(selected(., 'dk') or selected(., 'ref'), count-selected(.) = 1, count-selected(.) &gt;= 1)</t>
        </is>
      </c>
      <c r="L219" s="117" t="n"/>
      <c r="M219" s="119" t="inlineStr">
        <is>
          <t xml:space="preserve">${fish_salesdif} = '1' </t>
        </is>
      </c>
      <c r="N219" s="117" t="n"/>
      <c r="O219" s="117" t="n"/>
      <c r="P219" s="117" t="n"/>
      <c r="U219" s="45" t="inlineStr">
        <is>
          <t>yes</t>
        </is>
      </c>
      <c r="W219" s="275" t="n">
        <v>27.76699066162109</v>
      </c>
      <c r="X219" s="287">
        <f>'Additional information'!$D$20</f>
        <v/>
      </c>
      <c r="Y219" s="276">
        <f>IF(W219&lt;&gt;"",W219*X219,"")</f>
        <v/>
      </c>
      <c r="Z219" s="276">
        <f>IF(AND(W219&lt;&gt;"",U219="yes"),W219*X219,"")</f>
        <v/>
      </c>
    </row>
    <row r="220">
      <c r="A220" s="75" t="inlineStr">
        <is>
          <t>text</t>
        </is>
      </c>
      <c r="B220" s="75" t="inlineStr">
        <is>
          <t>fish_salesdif_otherspecify</t>
        </is>
      </c>
      <c r="C220" s="81" t="inlineStr">
        <is>
          <t>If other, specify.</t>
        </is>
      </c>
      <c r="D220" s="99" t="n"/>
      <c r="E220" s="99" t="n"/>
      <c r="F220" s="76" t="inlineStr">
        <is>
          <t>[INSTRUCTIONS: RECORD THE OPEN RESPONSE GIVEN IN FEW WORDS. ENTER 888 FOR DON'T KNOW AND 999 FOR REFUSED]</t>
        </is>
      </c>
      <c r="G220" s="89" t="n"/>
      <c r="H220" s="89" t="n"/>
      <c r="I220" s="117" t="inlineStr">
        <is>
          <t>true</t>
        </is>
      </c>
      <c r="J220" s="117" t="n"/>
      <c r="K220" s="117" t="n"/>
      <c r="L220" s="117" t="n"/>
      <c r="M220" s="119" t="inlineStr">
        <is>
          <t>selected(${fish_saledif}, 'other')</t>
        </is>
      </c>
      <c r="N220" s="117" t="n"/>
      <c r="O220" s="117" t="n"/>
      <c r="P220" s="117" t="n"/>
      <c r="U220" s="45" t="inlineStr">
        <is>
          <t>yes</t>
        </is>
      </c>
      <c r="W220" s="275" t="n"/>
      <c r="X220" s="287">
        <f>'Additional information'!$D$20</f>
        <v/>
      </c>
      <c r="Y220" s="276">
        <f>IF(W220&lt;&gt;"",W220*X220,"")</f>
        <v/>
      </c>
      <c r="Z220" s="276">
        <f>IF(AND(W220&lt;&gt;"",U220="yes"),W220*X220,"")</f>
        <v/>
      </c>
    </row>
    <row r="221">
      <c r="D221" s="88" t="n"/>
      <c r="E221" s="88" t="n"/>
      <c r="G221" s="89" t="n"/>
      <c r="H221" s="89" t="n"/>
      <c r="M221" s="129" t="n"/>
      <c r="U221" s="45" t="inlineStr"/>
      <c r="W221" s="275" t="inlineStr"/>
      <c r="X221" s="287">
        <f>'Additional information'!$D$20</f>
        <v/>
      </c>
      <c r="Y221" s="276">
        <f>IF(W221&lt;&gt;"",W221*X221,"")</f>
        <v/>
      </c>
      <c r="Z221" s="276">
        <f>IF(AND(W221&lt;&gt;"",U221="yes"),W221*X221,"")</f>
        <v/>
      </c>
    </row>
    <row r="222" ht="28.8" customHeight="1">
      <c r="A222" s="75" t="inlineStr">
        <is>
          <t>select_one change</t>
        </is>
      </c>
      <c r="B222" s="75" t="inlineStr">
        <is>
          <t>fish_salesprice</t>
        </is>
      </c>
      <c r="C222" s="81" t="inlineStr">
        <is>
          <t xml:space="preserve">How does the current price of your household's ${fishsalesmain} compare to the average price in the same period/harvest of last year? </t>
        </is>
      </c>
      <c r="D222" s="88" t="n"/>
      <c r="E222" s="88" t="n"/>
      <c r="F222" s="75" t="inlineStr">
        <is>
          <t>[INSTRUCTIONS: INSIST ON THE MAIN PRODUCT MENTIONED.]</t>
        </is>
      </c>
      <c r="G222" s="89" t="n"/>
      <c r="H222" s="89" t="n"/>
      <c r="I222" s="117" t="inlineStr">
        <is>
          <t>true</t>
        </is>
      </c>
      <c r="J222" s="117" t="n"/>
      <c r="K222" s="117" t="n"/>
      <c r="L222" s="117" t="n"/>
      <c r="M222" s="119" t="n"/>
      <c r="N222" s="117" t="n"/>
      <c r="O222" s="117" t="n"/>
      <c r="P222" s="117" t="n"/>
      <c r="U222" s="45" t="inlineStr">
        <is>
          <t>yes</t>
        </is>
      </c>
      <c r="W222" s="275" t="n">
        <v>13.7057523727417</v>
      </c>
      <c r="X222" s="287">
        <f>'Additional information'!$D$20</f>
        <v/>
      </c>
      <c r="Y222" s="276">
        <f>IF(W222&lt;&gt;"",W222*X222,"")</f>
        <v/>
      </c>
      <c r="Z222" s="276">
        <f>IF(AND(W222&lt;&gt;"",U222="yes"),W222*X222,"")</f>
        <v/>
      </c>
    </row>
    <row r="223">
      <c r="C223" s="47" t="n"/>
      <c r="D223" s="88" t="n"/>
      <c r="E223" s="88" t="n"/>
      <c r="G223" s="89" t="n"/>
      <c r="H223" s="89" t="n"/>
      <c r="M223" s="129" t="n"/>
      <c r="U223" s="45" t="inlineStr"/>
      <c r="W223" s="275" t="inlineStr"/>
      <c r="X223" s="287">
        <f>'Additional information'!$D$20</f>
        <v/>
      </c>
      <c r="Y223" s="276">
        <f>IF(W223&lt;&gt;"",W223*X223,"")</f>
        <v/>
      </c>
      <c r="Z223" s="276">
        <f>IF(AND(W223&lt;&gt;"",U223="yes"),W223*X223,"")</f>
        <v/>
      </c>
    </row>
    <row r="224" ht="15" customHeight="1" thickBot="1">
      <c r="A224" s="102" t="inlineStr">
        <is>
          <t>end_group</t>
        </is>
      </c>
      <c r="B224" s="102" t="n"/>
      <c r="C224" s="103" t="n"/>
      <c r="D224" s="110" t="n"/>
      <c r="E224" s="110" t="n"/>
      <c r="F224" s="102" t="n"/>
      <c r="G224" s="111" t="n"/>
      <c r="H224" s="111" t="n"/>
      <c r="I224" s="130" t="n"/>
      <c r="J224" s="130" t="n"/>
      <c r="K224" s="130" t="n"/>
      <c r="L224" s="130" t="n"/>
      <c r="M224" s="130" t="n"/>
      <c r="N224" s="130" t="n"/>
      <c r="O224" s="130" t="n"/>
      <c r="P224" s="130" t="n"/>
      <c r="W224" s="275" t="inlineStr"/>
      <c r="Y224" s="276">
        <f>IF(W224&lt;&gt;"",W224*X224,"")</f>
        <v/>
      </c>
      <c r="Z224" s="276">
        <f>IF(AND(W224&lt;&gt;"",U224="yes"),W224*X224,"")</f>
        <v/>
      </c>
    </row>
    <row r="225" ht="15" customFormat="1" customHeight="1" s="73" thickTop="1">
      <c r="A225" s="70" t="inlineStr">
        <is>
          <t>begin_group</t>
        </is>
      </c>
      <c r="B225" s="70" t="inlineStr">
        <is>
          <t>FSI</t>
        </is>
      </c>
      <c r="C225" s="94" t="inlineStr">
        <is>
          <t>FOOD SECURITY INDICATORS</t>
        </is>
      </c>
      <c r="D225" s="71" t="n"/>
      <c r="E225" s="71" t="n"/>
      <c r="F225" s="70" t="n"/>
      <c r="G225" s="72" t="n"/>
      <c r="H225" s="72" t="n"/>
      <c r="I225" s="122" t="inlineStr">
        <is>
          <t>false</t>
        </is>
      </c>
      <c r="J225" s="122" t="n"/>
      <c r="K225" s="122" t="n"/>
      <c r="L225" s="122" t="n"/>
      <c r="M225" s="122" t="inlineStr">
        <is>
          <t>${resp_agree} = '1' and ${hh_agricactivity} != '5' and ${hh_agricactivity} != '6'</t>
        </is>
      </c>
      <c r="N225" s="122" t="n"/>
      <c r="O225" s="122" t="n"/>
      <c r="P225" s="122" t="n"/>
      <c r="U225" s="45" t="inlineStr">
        <is>
          <t>yes</t>
        </is>
      </c>
      <c r="W225" s="275" t="n"/>
      <c r="X225" s="74" t="n"/>
      <c r="Y225" s="276">
        <f>IF(W225&lt;&gt;"",W225*X225,"")</f>
        <v/>
      </c>
      <c r="Z225" s="276">
        <f>IF(AND(W225&lt;&gt;"",U225="yes"),W225*X225,"")</f>
        <v/>
      </c>
      <c r="AA225" s="74" t="n"/>
    </row>
    <row r="226">
      <c r="C226" s="47" t="n"/>
      <c r="D226" s="88" t="n"/>
      <c r="E226" s="88" t="n"/>
      <c r="G226" s="89" t="n"/>
      <c r="H226" s="89" t="n"/>
      <c r="M226" s="129" t="n"/>
      <c r="U226" s="45" t="inlineStr"/>
      <c r="W226" s="275" t="inlineStr"/>
      <c r="X226" s="287" t="n">
        <v>1</v>
      </c>
      <c r="Y226" s="276">
        <f>IF(W226&lt;&gt;"",W226*X226,"")</f>
        <v/>
      </c>
      <c r="Z226" s="276">
        <f>IF(AND(W226&lt;&gt;"",U226="yes"),W226*X226,"")</f>
        <v/>
      </c>
    </row>
    <row r="227" ht="43.2" customFormat="1" customHeight="1" s="73">
      <c r="A227" s="75" t="inlineStr">
        <is>
          <t>note</t>
        </is>
      </c>
      <c r="B227" s="75" t="inlineStr">
        <is>
          <t>intro_foodsec</t>
        </is>
      </c>
      <c r="C227" s="44" t="inlineStr">
        <is>
          <t>Now I would like to ask you some questions about food consumption, food utilization and coping mechanisms. Make sure to refer to the correct time period for each set of questions.</t>
        </is>
      </c>
      <c r="D227" s="71" t="n"/>
      <c r="E227" s="71" t="n"/>
      <c r="G227" s="72" t="n"/>
      <c r="H227" s="72" t="n"/>
      <c r="I227" s="122" t="n"/>
      <c r="J227" s="122" t="n"/>
      <c r="K227" s="122" t="n"/>
      <c r="L227" s="122" t="n"/>
      <c r="M227" s="122" t="n"/>
      <c r="N227" s="122" t="n"/>
      <c r="O227" s="122" t="n"/>
      <c r="P227" s="122" t="n"/>
      <c r="U227" s="45" t="inlineStr">
        <is>
          <t>no</t>
        </is>
      </c>
      <c r="W227" s="275" t="n"/>
      <c r="X227" s="109" t="n">
        <v>1</v>
      </c>
      <c r="Y227" s="276">
        <f>IF(W227&lt;&gt;"",W227*X227,"")</f>
        <v/>
      </c>
      <c r="Z227" s="276">
        <f>IF(AND(W227&lt;&gt;"",U227="yes"),W227*X227,"")</f>
        <v/>
      </c>
      <c r="AA227" s="74" t="n"/>
    </row>
    <row r="228">
      <c r="C228" s="47" t="n"/>
      <c r="D228" s="88" t="n"/>
      <c r="E228" s="88" t="n"/>
      <c r="G228" s="89" t="n"/>
      <c r="H228" s="89" t="n"/>
      <c r="M228" s="129" t="n"/>
      <c r="W228" s="275" t="inlineStr"/>
      <c r="X228" s="287" t="n">
        <v>1</v>
      </c>
      <c r="Y228" s="276">
        <f>IF(W228&lt;&gt;"",W228*X228,"")</f>
        <v/>
      </c>
      <c r="Z228" s="276">
        <f>IF(AND(W228&lt;&gt;"",U228="yes"),W228*X228,"")</f>
        <v/>
      </c>
    </row>
    <row r="229" customFormat="1" s="73">
      <c r="A229" s="75" t="inlineStr">
        <is>
          <t>begin_group</t>
        </is>
      </c>
      <c r="B229" s="75" t="inlineStr">
        <is>
          <t>grp_fies</t>
        </is>
      </c>
      <c r="C229" s="94" t="inlineStr">
        <is>
          <t>FIES</t>
        </is>
      </c>
      <c r="D229" s="71" t="n"/>
      <c r="E229" s="71" t="n"/>
      <c r="F229" s="70" t="n"/>
      <c r="G229" s="72" t="n"/>
      <c r="H229" s="72" t="n"/>
      <c r="I229" s="122" t="n"/>
      <c r="J229" s="122" t="n"/>
      <c r="K229" s="122" t="n"/>
      <c r="L229" s="122" t="n"/>
      <c r="M229" s="122" t="n"/>
      <c r="N229" s="122" t="n"/>
      <c r="O229" s="122" t="n"/>
      <c r="P229" s="122" t="n"/>
      <c r="U229" s="45" t="n"/>
      <c r="W229" s="275" t="n"/>
      <c r="X229" s="109" t="n">
        <v>1</v>
      </c>
      <c r="Y229" s="276">
        <f>IF(W229&lt;&gt;"",W229*X229,"")</f>
        <v/>
      </c>
      <c r="Z229" s="276">
        <f>IF(AND(W229&lt;&gt;"",U229="yes"),W229*X229,"")</f>
        <v/>
      </c>
      <c r="AA229" s="74" t="n"/>
    </row>
    <row r="230" ht="28.8" customHeight="1">
      <c r="A230" s="75" t="inlineStr">
        <is>
          <t>note</t>
        </is>
      </c>
      <c r="B230" s="75" t="inlineStr">
        <is>
          <t>fies_intro</t>
        </is>
      </c>
      <c r="C230" s="44" t="inlineStr">
        <is>
          <t xml:space="preserve">The first set of questions refers to experiences faced by your or any of your household members over the past 30 days. </t>
        </is>
      </c>
      <c r="D230" s="88" t="n"/>
      <c r="E230" s="88" t="n"/>
      <c r="F230" s="75" t="n"/>
      <c r="G230" s="89" t="n"/>
      <c r="H230" s="89" t="n"/>
      <c r="I230" s="117" t="inlineStr">
        <is>
          <t>false</t>
        </is>
      </c>
      <c r="J230" s="117" t="n"/>
      <c r="K230" s="117" t="n"/>
      <c r="L230" s="117" t="n"/>
      <c r="M230" s="117" t="n"/>
      <c r="N230" s="117" t="n"/>
      <c r="O230" s="117" t="n"/>
      <c r="P230" s="117" t="n"/>
      <c r="U230" s="45" t="inlineStr">
        <is>
          <t>yes</t>
        </is>
      </c>
      <c r="W230" s="275" t="n">
        <v>12.77690315246582</v>
      </c>
      <c r="X230" s="109" t="n">
        <v>1</v>
      </c>
      <c r="Y230" s="276">
        <f>IF(W230&lt;&gt;"",W230*X230,"")</f>
        <v/>
      </c>
      <c r="Z230" s="276">
        <f>IF(AND(W230&lt;&gt;"",U230="yes"),W230*X230,"")</f>
        <v/>
      </c>
    </row>
    <row r="231" ht="43.2" customHeight="1">
      <c r="A231" s="75" t="inlineStr">
        <is>
          <t>select_one yes_no</t>
        </is>
      </c>
      <c r="B231" s="75" t="inlineStr">
        <is>
          <t>fies_worried</t>
        </is>
      </c>
      <c r="C231" s="44" t="inlineStr">
        <is>
          <t>During the *last 30 days*, was there a time when you or others in your household were **worried about not having enough food to eat** because of lack of money or other resources?</t>
        </is>
      </c>
      <c r="D231" s="88" t="n"/>
      <c r="E231" s="88" t="n"/>
      <c r="F231" s="75" t="n"/>
      <c r="G231" s="89" t="n"/>
      <c r="H231" s="89" t="n"/>
      <c r="I231" s="117" t="inlineStr">
        <is>
          <t>true</t>
        </is>
      </c>
      <c r="J231" s="117" t="n"/>
      <c r="K231" s="117" t="n"/>
      <c r="L231" s="117" t="n"/>
      <c r="M231" s="117" t="n"/>
      <c r="N231" s="117" t="n"/>
      <c r="O231" s="117" t="n"/>
      <c r="P231" s="117" t="n"/>
      <c r="U231" s="45" t="inlineStr">
        <is>
          <t>yes</t>
        </is>
      </c>
      <c r="W231" s="275" t="n">
        <v>21.39860534667969</v>
      </c>
      <c r="X231" s="109" t="n">
        <v>1</v>
      </c>
      <c r="Y231" s="276">
        <f>IF(W231&lt;&gt;"",W231*X231,"")</f>
        <v/>
      </c>
      <c r="Z231" s="276">
        <f>IF(AND(W231&lt;&gt;"",U231="yes"),W231*X231,"")</f>
        <v/>
      </c>
    </row>
    <row r="232" ht="43.2" customHeight="1">
      <c r="A232" s="75" t="inlineStr">
        <is>
          <t>select_one yes_no</t>
        </is>
      </c>
      <c r="B232" s="75" t="inlineStr">
        <is>
          <t>fies_healthy</t>
        </is>
      </c>
      <c r="C232" s="44" t="inlineStr">
        <is>
          <t>During the *last 30 days*, was there a time when you or others in your household were **unable to eat healthy and nutritious food** because of lack of money or other resources?</t>
        </is>
      </c>
      <c r="D232" s="88" t="n"/>
      <c r="E232" s="88" t="n"/>
      <c r="F232" s="75" t="n"/>
      <c r="G232" s="89" t="n"/>
      <c r="H232" s="89" t="n"/>
      <c r="I232" s="117" t="inlineStr">
        <is>
          <t>true</t>
        </is>
      </c>
      <c r="J232" s="117" t="n"/>
      <c r="K232" s="117" t="n"/>
      <c r="L232" s="117" t="n"/>
      <c r="M232" s="117" t="n"/>
      <c r="N232" s="117" t="n"/>
      <c r="O232" s="117" t="n"/>
      <c r="P232" s="117" t="n"/>
      <c r="U232" s="45" t="inlineStr">
        <is>
          <t>yes</t>
        </is>
      </c>
      <c r="W232" s="275" t="n">
        <v>14.98074054718018</v>
      </c>
      <c r="X232" s="109" t="n">
        <v>1</v>
      </c>
      <c r="Y232" s="276">
        <f>IF(W232&lt;&gt;"",W232*X232,"")</f>
        <v/>
      </c>
      <c r="Z232" s="276">
        <f>IF(AND(W232&lt;&gt;"",U232="yes"),W232*X232,"")</f>
        <v/>
      </c>
    </row>
    <row r="233" ht="28.8" customHeight="1">
      <c r="A233" s="75" t="inlineStr">
        <is>
          <t>select_one yes_no</t>
        </is>
      </c>
      <c r="B233" s="75" t="inlineStr">
        <is>
          <t>fies_fewfoods</t>
        </is>
      </c>
      <c r="C233" s="44" t="inlineStr">
        <is>
          <t>During the *last 30 days*, was there a time when you or others in your household **ate only a few kinds of foods** because of lack of money or other resources?</t>
        </is>
      </c>
      <c r="D233" s="88" t="n"/>
      <c r="E233" s="88" t="n"/>
      <c r="F233" s="75" t="n"/>
      <c r="G233" s="89" t="n"/>
      <c r="H233" s="89" t="n"/>
      <c r="I233" s="117" t="inlineStr">
        <is>
          <t>true</t>
        </is>
      </c>
      <c r="J233" s="117" t="n"/>
      <c r="K233" s="117" t="n"/>
      <c r="L233" s="117" t="n"/>
      <c r="M233" s="117" t="n"/>
      <c r="N233" s="117" t="n"/>
      <c r="O233" s="117" t="n"/>
      <c r="P233" s="117" t="n"/>
      <c r="U233" s="45" t="inlineStr">
        <is>
          <t>yes</t>
        </is>
      </c>
      <c r="W233" s="275" t="n">
        <v>13.72302150726318</v>
      </c>
      <c r="X233" s="109" t="n">
        <v>1</v>
      </c>
      <c r="Y233" s="276">
        <f>IF(W233&lt;&gt;"",W233*X233,"")</f>
        <v/>
      </c>
      <c r="Z233" s="276">
        <f>IF(AND(W233&lt;&gt;"",U233="yes"),W233*X233,"")</f>
        <v/>
      </c>
    </row>
    <row r="234" ht="28.8" customHeight="1">
      <c r="A234" s="75" t="inlineStr">
        <is>
          <t>select_one yes_no</t>
        </is>
      </c>
      <c r="B234" s="75" t="inlineStr">
        <is>
          <t>fies_skipped</t>
        </is>
      </c>
      <c r="C234" s="44" t="inlineStr">
        <is>
          <t>During the *last 30 days*, was there a time when you or others in your household **had to skip a meal** because of lack of money or other resources to get food?</t>
        </is>
      </c>
      <c r="D234" s="88" t="n"/>
      <c r="E234" s="88" t="n"/>
      <c r="F234" s="75" t="n"/>
      <c r="G234" s="89" t="n"/>
      <c r="H234" s="89" t="n"/>
      <c r="I234" s="117" t="inlineStr">
        <is>
          <t>true</t>
        </is>
      </c>
      <c r="J234" s="117" t="n"/>
      <c r="K234" s="117" t="n"/>
      <c r="L234" s="117" t="n"/>
      <c r="M234" s="117" t="n"/>
      <c r="N234" s="117" t="n"/>
      <c r="O234" s="117" t="n"/>
      <c r="P234" s="117" t="n"/>
      <c r="U234" s="45" t="inlineStr">
        <is>
          <t>yes</t>
        </is>
      </c>
      <c r="W234" s="275" t="n">
        <v>13.06220054626465</v>
      </c>
      <c r="X234" s="109" t="n">
        <v>1</v>
      </c>
      <c r="Y234" s="276">
        <f>IF(W234&lt;&gt;"",W234*X234,"")</f>
        <v/>
      </c>
      <c r="Z234" s="276">
        <f>IF(AND(W234&lt;&gt;"",U234="yes"),W234*X234,"")</f>
        <v/>
      </c>
    </row>
    <row r="235" ht="28.8" customHeight="1">
      <c r="A235" s="75" t="inlineStr">
        <is>
          <t>select_one yes_no</t>
        </is>
      </c>
      <c r="B235" s="75" t="inlineStr">
        <is>
          <t>fies_ateless</t>
        </is>
      </c>
      <c r="C235" s="44" t="inlineStr">
        <is>
          <t>During the *last 30 days*, was there a time when you or others in your household **ate less than you thought you should** because of lack of money or other resources?</t>
        </is>
      </c>
      <c r="D235" s="88" t="n"/>
      <c r="E235" s="88" t="n"/>
      <c r="F235" s="75" t="n"/>
      <c r="G235" s="89" t="n"/>
      <c r="H235" s="89" t="n"/>
      <c r="I235" s="117" t="inlineStr">
        <is>
          <t>true</t>
        </is>
      </c>
      <c r="J235" s="117" t="n"/>
      <c r="K235" s="117" t="n"/>
      <c r="L235" s="117" t="n"/>
      <c r="M235" s="117" t="n"/>
      <c r="N235" s="117" t="n"/>
      <c r="O235" s="117" t="n"/>
      <c r="P235" s="117" t="n"/>
      <c r="U235" s="45" t="inlineStr">
        <is>
          <t>yes</t>
        </is>
      </c>
      <c r="W235" s="275" t="n">
        <v>13.09532356262207</v>
      </c>
      <c r="X235" s="109" t="n">
        <v>1</v>
      </c>
      <c r="Y235" s="276">
        <f>IF(W235&lt;&gt;"",W235*X235,"")</f>
        <v/>
      </c>
      <c r="Z235" s="276">
        <f>IF(AND(W235&lt;&gt;"",U235="yes"),W235*X235,"")</f>
        <v/>
      </c>
    </row>
    <row r="236" ht="28.8" customHeight="1">
      <c r="A236" s="75" t="inlineStr">
        <is>
          <t>select_one yes_no</t>
        </is>
      </c>
      <c r="B236" s="75" t="inlineStr">
        <is>
          <t>fies_ranout</t>
        </is>
      </c>
      <c r="C236" s="44" t="inlineStr">
        <is>
          <t>In the *past 30 days*, was there ever **no food to eat of any kind** in your house because of lack of resources to get food?</t>
        </is>
      </c>
      <c r="D236" s="88" t="n"/>
      <c r="E236" s="88" t="n"/>
      <c r="F236" s="75" t="n"/>
      <c r="G236" s="89" t="n"/>
      <c r="H236" s="89" t="n"/>
      <c r="I236" s="117" t="inlineStr">
        <is>
          <t>true</t>
        </is>
      </c>
      <c r="J236" s="117" t="n"/>
      <c r="K236" s="117" t="n"/>
      <c r="L236" s="117" t="n"/>
      <c r="M236" s="117" t="n"/>
      <c r="N236" s="117" t="n"/>
      <c r="O236" s="117" t="n"/>
      <c r="P236" s="117" t="n"/>
      <c r="U236" s="45" t="inlineStr">
        <is>
          <t>yes</t>
        </is>
      </c>
      <c r="W236" s="275" t="n">
        <v>16.10101918465228</v>
      </c>
      <c r="X236" s="109" t="n">
        <v>1</v>
      </c>
      <c r="Y236" s="276">
        <f>IF(W236&lt;&gt;"",W236*X236,"")</f>
        <v/>
      </c>
      <c r="Z236" s="276">
        <f>IF(AND(W236&lt;&gt;"",U236="yes"),W236*X236,"")</f>
        <v/>
      </c>
    </row>
    <row r="237" customFormat="1" s="76">
      <c r="A237" s="80" t="inlineStr">
        <is>
          <t>select_one frequency</t>
        </is>
      </c>
      <c r="B237" s="80" t="inlineStr">
        <is>
          <t>fies_ranout_hhs</t>
        </is>
      </c>
      <c r="C237" s="81" t="inlineStr">
        <is>
          <t xml:space="preserve">How often did this happen? </t>
        </is>
      </c>
      <c r="D237" s="99" t="n"/>
      <c r="E237" s="99" t="n"/>
      <c r="F237" s="80" t="n"/>
      <c r="G237" s="101" t="n"/>
      <c r="H237" s="101" t="n"/>
      <c r="I237" s="119" t="inlineStr">
        <is>
          <t>true</t>
        </is>
      </c>
      <c r="J237" s="119" t="n"/>
      <c r="K237" s="119" t="n"/>
      <c r="L237" s="119" t="n"/>
      <c r="M237" s="119" t="inlineStr">
        <is>
          <t>${fies_ranout} = '1'</t>
        </is>
      </c>
      <c r="N237" s="119" t="n"/>
      <c r="O237" s="119" t="n"/>
      <c r="P237" s="119" t="n"/>
      <c r="U237" s="76" t="inlineStr">
        <is>
          <t>yes</t>
        </is>
      </c>
      <c r="W237" s="275" t="n">
        <v>11.76504325866699</v>
      </c>
      <c r="X237" s="109" t="n">
        <v>1</v>
      </c>
      <c r="Y237" s="276">
        <f>IF(W237&lt;&gt;"",W237*X237,"")</f>
        <v/>
      </c>
      <c r="Z237" s="276">
        <f>IF(AND(W237&lt;&gt;"",U237="yes"),W237*X237,"")</f>
        <v/>
      </c>
    </row>
    <row r="238" ht="28.8" customFormat="1" customHeight="1" s="76">
      <c r="A238" s="80" t="inlineStr">
        <is>
          <t>select_one yes_no</t>
        </is>
      </c>
      <c r="B238" s="80" t="inlineStr">
        <is>
          <t>fies_hungry</t>
        </is>
      </c>
      <c r="C238" s="81" t="inlineStr">
        <is>
          <t>In the *past 30 days*, did you or any household member ever **go to sleep at night hungry**because there was not enough food?</t>
        </is>
      </c>
      <c r="D238" s="99" t="n"/>
      <c r="E238" s="99" t="n"/>
      <c r="F238" s="80" t="n"/>
      <c r="G238" s="101" t="n"/>
      <c r="H238" s="101" t="n"/>
      <c r="I238" s="119" t="inlineStr">
        <is>
          <t>true</t>
        </is>
      </c>
      <c r="J238" s="119" t="n"/>
      <c r="K238" s="119" t="n"/>
      <c r="L238" s="119" t="n"/>
      <c r="M238" s="119" t="n"/>
      <c r="N238" s="119" t="n"/>
      <c r="O238" s="119" t="n"/>
      <c r="P238" s="119" t="n"/>
      <c r="U238" s="76" t="inlineStr">
        <is>
          <t>yes</t>
        </is>
      </c>
      <c r="W238" s="275" t="n">
        <v>12.43247890472412</v>
      </c>
      <c r="X238" s="109" t="n">
        <v>1</v>
      </c>
      <c r="Y238" s="276">
        <f>IF(W238&lt;&gt;"",W238*X238,"")</f>
        <v/>
      </c>
      <c r="Z238" s="276">
        <f>IF(AND(W238&lt;&gt;"",U238="yes"),W238*X238,"")</f>
        <v/>
      </c>
    </row>
    <row r="239" customFormat="1" s="76">
      <c r="A239" s="80" t="inlineStr">
        <is>
          <t>select_one frequency</t>
        </is>
      </c>
      <c r="B239" s="80" t="inlineStr">
        <is>
          <t>fies_hungry_hhs</t>
        </is>
      </c>
      <c r="C239" s="81" t="inlineStr">
        <is>
          <t xml:space="preserve">How often did this happen? </t>
        </is>
      </c>
      <c r="D239" s="99" t="n"/>
      <c r="E239" s="99" t="n"/>
      <c r="F239" s="80" t="n"/>
      <c r="G239" s="101" t="n"/>
      <c r="H239" s="101" t="n"/>
      <c r="I239" s="119" t="inlineStr">
        <is>
          <t>true</t>
        </is>
      </c>
      <c r="J239" s="119" t="n"/>
      <c r="K239" s="119" t="n"/>
      <c r="L239" s="119" t="n"/>
      <c r="M239" s="119" t="inlineStr">
        <is>
          <t>${fies_hungry} = '1'</t>
        </is>
      </c>
      <c r="N239" s="119" t="n"/>
      <c r="O239" s="119" t="n"/>
      <c r="P239" s="119" t="n"/>
      <c r="U239" s="76" t="inlineStr">
        <is>
          <t>yes</t>
        </is>
      </c>
      <c r="W239" s="275" t="n">
        <v>8.980183601379395</v>
      </c>
      <c r="X239" s="109" t="n">
        <v>1</v>
      </c>
      <c r="Y239" s="276">
        <f>IF(W239&lt;&gt;"",W239*X239,"")</f>
        <v/>
      </c>
      <c r="Z239" s="276">
        <f>IF(AND(W239&lt;&gt;"",U239="yes"),W239*X239,"")</f>
        <v/>
      </c>
    </row>
    <row r="240" ht="28.8" customFormat="1" customHeight="1" s="76">
      <c r="A240" s="80" t="inlineStr">
        <is>
          <t>select_one yes_no</t>
        </is>
      </c>
      <c r="B240" s="80" t="inlineStr">
        <is>
          <t>fies_whlday</t>
        </is>
      </c>
      <c r="C240" s="81" t="inlineStr">
        <is>
          <t>In the *past 30 days*, did you or any household member ever **go a whole day and night without eating anything at all** because there was not enough food?</t>
        </is>
      </c>
      <c r="D240" s="99" t="n"/>
      <c r="E240" s="99" t="n"/>
      <c r="F240" s="80" t="n"/>
      <c r="G240" s="101" t="n"/>
      <c r="H240" s="101" t="n"/>
      <c r="I240" s="119" t="inlineStr">
        <is>
          <t>true</t>
        </is>
      </c>
      <c r="J240" s="119" t="n"/>
      <c r="K240" s="119" t="n"/>
      <c r="L240" s="119" t="n"/>
      <c r="M240" s="119" t="n"/>
      <c r="N240" s="119" t="n"/>
      <c r="O240" s="119" t="n"/>
      <c r="P240" s="119" t="n"/>
      <c r="U240" s="76" t="inlineStr">
        <is>
          <t>yes</t>
        </is>
      </c>
      <c r="W240" s="275" t="n">
        <v>11.08932876586914</v>
      </c>
      <c r="X240" s="109" t="n">
        <v>1</v>
      </c>
      <c r="Y240" s="276">
        <f>IF(W240&lt;&gt;"",W240*X240,"")</f>
        <v/>
      </c>
      <c r="Z240" s="276">
        <f>IF(AND(W240&lt;&gt;"",U240="yes"),W240*X240,"")</f>
        <v/>
      </c>
    </row>
    <row r="241" customFormat="1" s="76">
      <c r="A241" s="80" t="inlineStr">
        <is>
          <t>select_one frequency</t>
        </is>
      </c>
      <c r="B241" s="80" t="inlineStr">
        <is>
          <t>fies_whlday_hhs</t>
        </is>
      </c>
      <c r="C241" s="81" t="inlineStr">
        <is>
          <t xml:space="preserve">How often did this happen? </t>
        </is>
      </c>
      <c r="D241" s="99" t="n"/>
      <c r="E241" s="99" t="n"/>
      <c r="F241" s="80" t="n"/>
      <c r="G241" s="101" t="n"/>
      <c r="H241" s="101" t="n"/>
      <c r="I241" s="119" t="inlineStr">
        <is>
          <t>true</t>
        </is>
      </c>
      <c r="J241" s="119" t="n"/>
      <c r="K241" s="119" t="n"/>
      <c r="L241" s="119" t="n"/>
      <c r="M241" s="119" t="inlineStr">
        <is>
          <t>${fies_whlday} = '1'</t>
        </is>
      </c>
      <c r="N241" s="119" t="n"/>
      <c r="O241" s="119" t="n"/>
      <c r="P241" s="119" t="n"/>
      <c r="U241" s="76" t="inlineStr">
        <is>
          <t>yes</t>
        </is>
      </c>
      <c r="W241" s="275" t="n">
        <v>8.06833553314209</v>
      </c>
      <c r="X241" s="109" t="n">
        <v>1</v>
      </c>
      <c r="Y241" s="276">
        <f>IF(W241&lt;&gt;"",W241*X241,"")</f>
        <v/>
      </c>
      <c r="Z241" s="276">
        <f>IF(AND(W241&lt;&gt;"",U241="yes"),W241*X241,"")</f>
        <v/>
      </c>
    </row>
    <row r="242">
      <c r="A242" s="80" t="inlineStr">
        <is>
          <t>end_group</t>
        </is>
      </c>
      <c r="B242" s="80" t="n"/>
      <c r="C242" s="44" t="n"/>
      <c r="D242" s="88" t="n"/>
      <c r="E242" s="88" t="n"/>
      <c r="F242" s="75" t="n"/>
      <c r="G242" s="89" t="n"/>
      <c r="H242" s="89" t="n"/>
      <c r="I242" s="117" t="n"/>
      <c r="J242" s="117" t="n"/>
      <c r="K242" s="117" t="n"/>
      <c r="L242" s="117" t="n"/>
      <c r="M242" s="117" t="n"/>
      <c r="N242" s="117" t="n"/>
      <c r="O242" s="117" t="n"/>
      <c r="P242" s="117" t="n"/>
      <c r="U242" s="45" t="inlineStr"/>
      <c r="W242" s="275" t="inlineStr"/>
      <c r="X242" s="109" t="n">
        <v>1</v>
      </c>
      <c r="Y242" s="276">
        <f>IF(W242&lt;&gt;"",W242*X242,"")</f>
        <v/>
      </c>
      <c r="Z242" s="276">
        <f>IF(AND(W242&lt;&gt;"",U242="yes"),W242*X242,"")</f>
        <v/>
      </c>
    </row>
    <row r="243">
      <c r="A243" s="76" t="n"/>
      <c r="B243" s="76" t="n"/>
      <c r="D243" s="88" t="n"/>
      <c r="E243" s="88" t="n"/>
      <c r="G243" s="89" t="n"/>
      <c r="H243" s="89" t="n"/>
      <c r="U243" s="45" t="inlineStr"/>
      <c r="W243" s="275" t="inlineStr"/>
      <c r="X243" s="109" t="n">
        <v>1</v>
      </c>
      <c r="Y243" s="276">
        <f>IF(W243&lt;&gt;"",W243*X243,"")</f>
        <v/>
      </c>
      <c r="Z243" s="276">
        <f>IF(AND(W243&lt;&gt;"",U243="yes"),W243*X243,"")</f>
        <v/>
      </c>
    </row>
    <row r="244" customFormat="1" s="77">
      <c r="A244" s="77" t="inlineStr">
        <is>
          <t>begin_group</t>
        </is>
      </c>
      <c r="B244" s="77" t="inlineStr">
        <is>
          <t>grp_lcsi</t>
        </is>
      </c>
      <c r="C244" s="163" t="inlineStr">
        <is>
          <t>LCSI</t>
        </is>
      </c>
      <c r="D244" s="79" t="n"/>
      <c r="E244" s="79" t="n"/>
      <c r="G244" s="83" t="n"/>
      <c r="H244" s="83" t="n"/>
      <c r="I244" s="118" t="n"/>
      <c r="J244" s="118" t="inlineStr">
        <is>
          <t>field-list</t>
        </is>
      </c>
      <c r="K244" s="118" t="n"/>
      <c r="L244" s="118" t="n"/>
      <c r="M244" s="118" t="n"/>
      <c r="N244" s="118" t="n"/>
      <c r="O244" s="118" t="n"/>
      <c r="P244" s="118" t="n"/>
      <c r="W244" s="277" t="n"/>
      <c r="X244" s="164" t="n">
        <v>1</v>
      </c>
      <c r="Y244" s="278">
        <f>IF(W244&lt;&gt;"",W244*X244,"")</f>
        <v/>
      </c>
      <c r="Z244" s="278">
        <f>IF(AND(W244&lt;&gt;"",U244="yes"),W244*X244,"")</f>
        <v/>
      </c>
    </row>
    <row r="245" ht="57.6" customFormat="1" customHeight="1" s="77">
      <c r="A245" s="77" t="inlineStr">
        <is>
          <t>note</t>
        </is>
      </c>
      <c r="B245" s="77" t="inlineStr">
        <is>
          <t>lcsi_intro</t>
        </is>
      </c>
      <c r="C245"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5" s="79" t="n"/>
      <c r="E245" s="79" t="n"/>
      <c r="G245" s="83" t="n"/>
      <c r="H245" s="83" t="n"/>
      <c r="I245" s="118" t="n"/>
      <c r="J245" s="118" t="n"/>
      <c r="K245" s="118" t="n"/>
      <c r="L245" s="118" t="n"/>
      <c r="M245" s="118" t="n"/>
      <c r="N245" s="118" t="n"/>
      <c r="O245" s="118" t="n"/>
      <c r="P245" s="118" t="n"/>
      <c r="U245" s="77" t="inlineStr">
        <is>
          <t>no</t>
        </is>
      </c>
      <c r="W245" s="277" t="n">
        <v>5.711253643035889</v>
      </c>
      <c r="X245" s="164" t="n">
        <v>1</v>
      </c>
      <c r="Y245" s="278">
        <f>IF(W245&lt;&gt;"",W245*X245,"")</f>
        <v/>
      </c>
      <c r="Z245" s="278">
        <f>IF(AND(W245&lt;&gt;"",U245="yes"),W245*X245,"")</f>
        <v/>
      </c>
    </row>
    <row r="246" ht="28.8" customFormat="1" customHeight="1" s="165">
      <c r="A246" s="254" t="inlineStr">
        <is>
          <t>select_one coping</t>
        </is>
      </c>
      <c r="B246" s="254" t="inlineStr">
        <is>
          <t>cs_stress_hh_assets</t>
        </is>
      </c>
      <c r="C246" s="261" t="inlineStr">
        <is>
          <t>**sell non-productive household assets / goods** (clothes, carpet, furniture, radio, television, refrigerator, jewelry, etc.)</t>
        </is>
      </c>
      <c r="D246" s="262" t="n"/>
      <c r="E246" s="262" t="n"/>
      <c r="F246" s="263" t="n"/>
      <c r="G246" s="263" t="n"/>
      <c r="H246" s="263" t="n"/>
      <c r="I246" s="256" t="inlineStr">
        <is>
          <t>true</t>
        </is>
      </c>
      <c r="J246" s="256" t="inlineStr">
        <is>
          <t>minimal</t>
        </is>
      </c>
      <c r="K246" s="264" t="n"/>
      <c r="L246" s="264" t="n"/>
      <c r="M246" s="264" t="n"/>
      <c r="N246" s="264" t="n"/>
      <c r="O246" s="264" t="n"/>
      <c r="P246" s="264" t="n"/>
      <c r="Q246" s="263" t="n"/>
      <c r="R246" s="263" t="n"/>
      <c r="S246" s="263" t="n"/>
      <c r="T246" s="263" t="n"/>
      <c r="U246" s="254" t="inlineStr">
        <is>
          <t>no</t>
        </is>
      </c>
      <c r="V246" s="263" t="n"/>
      <c r="W246" s="279" t="n">
        <v>19.85153007507324</v>
      </c>
      <c r="X246" s="265" t="n">
        <v>1</v>
      </c>
      <c r="Y246" s="280">
        <f>IF(W246&lt;&gt;"",W246*X246,"")</f>
        <v/>
      </c>
      <c r="Z246" s="276">
        <f>IF(AND(W246&lt;&gt;"",U246="yes"),W246*X246,"")</f>
        <v/>
      </c>
      <c r="AA246" s="76" t="n"/>
    </row>
    <row r="247" customFormat="1" s="165">
      <c r="A247" s="254" t="inlineStr">
        <is>
          <t>select_one coping</t>
        </is>
      </c>
      <c r="B247" s="254" t="inlineStr">
        <is>
          <t>cs_stress_spent_savings</t>
        </is>
      </c>
      <c r="C247" s="266" t="inlineStr">
        <is>
          <t>**spend savings and skipped debt payment**</t>
        </is>
      </c>
      <c r="D247" s="262" t="n"/>
      <c r="E247" s="262" t="n"/>
      <c r="F247" s="263" t="n"/>
      <c r="G247" s="263" t="n"/>
      <c r="H247" s="263" t="n"/>
      <c r="I247" s="256" t="inlineStr">
        <is>
          <t>true</t>
        </is>
      </c>
      <c r="J247" s="256" t="inlineStr">
        <is>
          <t>minimal</t>
        </is>
      </c>
      <c r="K247" s="264" t="n"/>
      <c r="L247" s="264" t="n"/>
      <c r="M247" s="264" t="n"/>
      <c r="N247" s="264" t="n"/>
      <c r="O247" s="264" t="n"/>
      <c r="P247" s="264" t="n"/>
      <c r="Q247" s="263" t="n"/>
      <c r="R247" s="263" t="n"/>
      <c r="S247" s="263" t="n"/>
      <c r="T247" s="263" t="n"/>
      <c r="U247" s="254" t="inlineStr">
        <is>
          <t>no</t>
        </is>
      </c>
      <c r="V247" s="263" t="n"/>
      <c r="W247" s="279" t="n">
        <v>15.43667125701904</v>
      </c>
      <c r="X247" s="265" t="n">
        <v>1</v>
      </c>
      <c r="Y247" s="280">
        <f>IF(W247&lt;&gt;"",W247*X247,"")</f>
        <v/>
      </c>
      <c r="Z247" s="276">
        <f>IF(AND(W247&lt;&gt;"",U247="yes"),W247*X247,"")</f>
        <v/>
      </c>
      <c r="AA247" s="76" t="n"/>
    </row>
    <row r="248" customFormat="1" s="165">
      <c r="A248" s="254" t="inlineStr">
        <is>
          <t>select_one coping</t>
        </is>
      </c>
      <c r="B248" s="254" t="inlineStr">
        <is>
          <t>cs_stress_sold_more_animals</t>
        </is>
      </c>
      <c r="C248" s="266" t="inlineStr">
        <is>
          <t>**sell more animals (non-productive) than usual (on a sustainable basis)**</t>
        </is>
      </c>
      <c r="D248" s="262" t="n"/>
      <c r="E248" s="262" t="n"/>
      <c r="F248" s="263" t="n"/>
      <c r="G248" s="263" t="n"/>
      <c r="H248" s="263" t="n"/>
      <c r="I248" s="256" t="inlineStr">
        <is>
          <t>true</t>
        </is>
      </c>
      <c r="J248" s="256" t="inlineStr">
        <is>
          <t>minimal</t>
        </is>
      </c>
      <c r="K248" s="264" t="n"/>
      <c r="L248" s="264" t="n"/>
      <c r="M248" s="264" t="n"/>
      <c r="N248" s="264" t="n"/>
      <c r="O248" s="264" t="n"/>
      <c r="P248" s="264" t="n"/>
      <c r="Q248" s="263" t="n"/>
      <c r="R248" s="263" t="n"/>
      <c r="S248" s="263" t="n"/>
      <c r="T248" s="263" t="n"/>
      <c r="U248" s="254" t="inlineStr">
        <is>
          <t>no</t>
        </is>
      </c>
      <c r="V248" s="263" t="n"/>
      <c r="W248" s="279" t="n">
        <v>13.39993858337402</v>
      </c>
      <c r="X248" s="265" t="n">
        <v>1</v>
      </c>
      <c r="Y248" s="280">
        <f>IF(W248&lt;&gt;"",W248*X248,"")</f>
        <v/>
      </c>
      <c r="Z248" s="276">
        <f>IF(AND(W248&lt;&gt;"",U248="yes"),W248*X248,"")</f>
        <v/>
      </c>
      <c r="AA248" s="76" t="n"/>
    </row>
    <row r="249" customFormat="1" s="165">
      <c r="A249" s="254" t="inlineStr">
        <is>
          <t>select_one coping</t>
        </is>
      </c>
      <c r="B249" s="254" t="inlineStr">
        <is>
          <t>cs_stress_borrowed_money</t>
        </is>
      </c>
      <c r="C249" s="266" t="inlineStr">
        <is>
          <t>**borrow money (from a formal lender/bank/non-relatives)**</t>
        </is>
      </c>
      <c r="D249" s="262" t="n"/>
      <c r="E249" s="262" t="n"/>
      <c r="F249" s="263" t="n"/>
      <c r="G249" s="263" t="n"/>
      <c r="H249" s="263" t="n"/>
      <c r="I249" s="256" t="inlineStr">
        <is>
          <t>true</t>
        </is>
      </c>
      <c r="J249" s="256" t="inlineStr">
        <is>
          <t>minimal</t>
        </is>
      </c>
      <c r="K249" s="264" t="n"/>
      <c r="L249" s="264" t="n"/>
      <c r="M249" s="264" t="n"/>
      <c r="N249" s="264" t="n"/>
      <c r="O249" s="264" t="n"/>
      <c r="P249" s="264" t="n"/>
      <c r="Q249" s="263" t="n"/>
      <c r="R249" s="263" t="n"/>
      <c r="S249" s="263" t="n"/>
      <c r="T249" s="263" t="n"/>
      <c r="U249" s="254" t="inlineStr">
        <is>
          <t>no</t>
        </is>
      </c>
      <c r="V249" s="263" t="n"/>
      <c r="W249" s="279" t="n">
        <v>14.62593364715576</v>
      </c>
      <c r="X249" s="265" t="n">
        <v>1</v>
      </c>
      <c r="Y249" s="280">
        <f>IF(W249&lt;&gt;"",W249*X249,"")</f>
        <v/>
      </c>
      <c r="Z249" s="276">
        <f>IF(AND(W249&lt;&gt;"",U249="yes"),W249*X249,"")</f>
        <v/>
      </c>
      <c r="AA249" s="76" t="n"/>
    </row>
    <row r="250" customFormat="1" s="165">
      <c r="A250" s="254" t="inlineStr">
        <is>
          <t>select_one coping</t>
        </is>
      </c>
      <c r="B250" s="254" t="inlineStr">
        <is>
          <t>cs_stress_reduced_expenses</t>
        </is>
      </c>
      <c r="C250" s="266" t="inlineStr">
        <is>
          <t>**reduce essential non-food expenses on health (including drugs) and education**</t>
        </is>
      </c>
      <c r="D250" s="262" t="n"/>
      <c r="E250" s="262" t="n"/>
      <c r="F250" s="263" t="n"/>
      <c r="G250" s="263" t="n"/>
      <c r="H250" s="263" t="n"/>
      <c r="I250" s="256" t="inlineStr">
        <is>
          <t>true</t>
        </is>
      </c>
      <c r="J250" s="256" t="inlineStr">
        <is>
          <t>minimal</t>
        </is>
      </c>
      <c r="K250" s="264" t="n"/>
      <c r="L250" s="264" t="n"/>
      <c r="M250" s="264" t="n"/>
      <c r="N250" s="264" t="n"/>
      <c r="O250" s="264" t="n"/>
      <c r="P250" s="264" t="n"/>
      <c r="Q250" s="263" t="n"/>
      <c r="R250" s="263" t="n"/>
      <c r="S250" s="263" t="n"/>
      <c r="T250" s="263" t="n"/>
      <c r="U250" s="254" t="inlineStr">
        <is>
          <t>no</t>
        </is>
      </c>
      <c r="V250" s="263" t="n"/>
      <c r="W250" s="279" t="n">
        <v>11.78780174255371</v>
      </c>
      <c r="X250" s="265" t="n">
        <v>1</v>
      </c>
      <c r="Y250" s="280">
        <f>IF(W250&lt;&gt;"",W250*X250,"")</f>
        <v/>
      </c>
      <c r="Z250" s="276">
        <f>IF(AND(W250&lt;&gt;"",U250="yes"),W250*X250,"")</f>
        <v/>
      </c>
      <c r="AA250" s="76" t="n"/>
    </row>
    <row r="251" customFormat="1" s="165">
      <c r="A251" s="254" t="inlineStr">
        <is>
          <t>select_one coping</t>
        </is>
      </c>
      <c r="B251" s="254" t="inlineStr">
        <is>
          <t>cs_crisis_harvest_immature_crops</t>
        </is>
      </c>
      <c r="C251" s="266" t="inlineStr">
        <is>
          <t>**Harvest immature crops or let animals graze immature crops**</t>
        </is>
      </c>
      <c r="D251" s="262" t="n"/>
      <c r="E251" s="262" t="n"/>
      <c r="F251" s="263" t="n"/>
      <c r="G251" s="263" t="n"/>
      <c r="H251" s="263" t="n"/>
      <c r="I251" s="256" t="inlineStr">
        <is>
          <t>true</t>
        </is>
      </c>
      <c r="J251" s="256" t="inlineStr">
        <is>
          <t>minimal</t>
        </is>
      </c>
      <c r="K251" s="264" t="n"/>
      <c r="L251" s="264" t="n"/>
      <c r="M251" s="264" t="n"/>
      <c r="N251" s="264" t="n"/>
      <c r="O251" s="264" t="n"/>
      <c r="P251" s="264" t="n"/>
      <c r="Q251" s="263" t="n"/>
      <c r="R251" s="263" t="n"/>
      <c r="S251" s="263" t="n"/>
      <c r="T251" s="263" t="n"/>
      <c r="U251" s="254" t="inlineStr">
        <is>
          <t>no</t>
        </is>
      </c>
      <c r="V251" s="263" t="n"/>
      <c r="W251" s="279" t="n">
        <v>12.4080867767334</v>
      </c>
      <c r="X251" s="265" t="n">
        <v>1</v>
      </c>
      <c r="Y251" s="280">
        <f>IF(W251&lt;&gt;"",W251*X251,"")</f>
        <v/>
      </c>
      <c r="Z251" s="276">
        <f>IF(AND(W251&lt;&gt;"",U251="yes"),W251*X251,"")</f>
        <v/>
      </c>
      <c r="AA251" s="76" t="n"/>
    </row>
    <row r="252" ht="28.8" customFormat="1" customHeight="1" s="165">
      <c r="A252" s="254" t="inlineStr">
        <is>
          <t>select_one coping</t>
        </is>
      </c>
      <c r="B252" s="254" t="inlineStr">
        <is>
          <t>cs_crisis_sell_prod_assets</t>
        </is>
      </c>
      <c r="C252" s="261" t="inlineStr">
        <is>
          <t xml:space="preserve">**sell productive assets or means of transport** (sewing machine, wheelbarrow, tools, animals, bicycle, motorbike, car, etc.) </t>
        </is>
      </c>
      <c r="D252" s="262" t="n"/>
      <c r="E252" s="262" t="n"/>
      <c r="F252" s="263" t="n"/>
      <c r="G252" s="263" t="n"/>
      <c r="H252" s="263" t="n"/>
      <c r="I252" s="256" t="inlineStr">
        <is>
          <t>true</t>
        </is>
      </c>
      <c r="J252" s="256" t="inlineStr">
        <is>
          <t>minimal</t>
        </is>
      </c>
      <c r="K252" s="264" t="n"/>
      <c r="L252" s="264" t="n"/>
      <c r="M252" s="264" t="n"/>
      <c r="N252" s="264" t="n"/>
      <c r="O252" s="264" t="n"/>
      <c r="P252" s="264" t="n"/>
      <c r="Q252" s="263" t="n"/>
      <c r="R252" s="263" t="n"/>
      <c r="S252" s="263" t="n"/>
      <c r="T252" s="263" t="n"/>
      <c r="U252" s="254" t="inlineStr">
        <is>
          <t>no</t>
        </is>
      </c>
      <c r="V252" s="263" t="n"/>
      <c r="W252" s="279" t="n">
        <v>9.289467811584473</v>
      </c>
      <c r="X252" s="265" t="n">
        <v>1</v>
      </c>
      <c r="Y252" s="280">
        <f>IF(W252&lt;&gt;"",W252*X252,"")</f>
        <v/>
      </c>
      <c r="Z252" s="276">
        <f>IF(AND(W252&lt;&gt;"",U252="yes"),W252*X252,"")</f>
        <v/>
      </c>
      <c r="AA252" s="76" t="n"/>
    </row>
    <row r="253" customFormat="1" s="165">
      <c r="A253" s="254" t="inlineStr">
        <is>
          <t>select_one coping</t>
        </is>
      </c>
      <c r="B253" s="254" t="inlineStr">
        <is>
          <t>cs_crisis_consumed_seed_stocks</t>
        </is>
      </c>
      <c r="C253" s="266" t="inlineStr">
        <is>
          <t>**consume seed stocks that were to be held/saved for the next planting season**</t>
        </is>
      </c>
      <c r="D253" s="262" t="n"/>
      <c r="E253" s="262" t="n"/>
      <c r="F253" s="263" t="n"/>
      <c r="G253" s="263" t="n"/>
      <c r="H253" s="263" t="n"/>
      <c r="I253" s="256" t="inlineStr">
        <is>
          <t>true</t>
        </is>
      </c>
      <c r="J253" s="256" t="inlineStr">
        <is>
          <t>minimal</t>
        </is>
      </c>
      <c r="K253" s="264" t="n"/>
      <c r="L253" s="264" t="n"/>
      <c r="M253" s="264" t="n"/>
      <c r="N253" s="264" t="n"/>
      <c r="O253" s="264" t="n"/>
      <c r="P253" s="264" t="n"/>
      <c r="Q253" s="263" t="n"/>
      <c r="R253" s="263" t="n"/>
      <c r="S253" s="263" t="n"/>
      <c r="T253" s="263" t="n"/>
      <c r="U253" s="254" t="inlineStr">
        <is>
          <t>no</t>
        </is>
      </c>
      <c r="V253" s="263" t="n"/>
      <c r="W253" s="279" t="n">
        <v>12</v>
      </c>
      <c r="X253" s="265" t="n">
        <v>1</v>
      </c>
      <c r="Y253" s="280">
        <f>IF(W253&lt;&gt;"",W253*X253,"")</f>
        <v/>
      </c>
      <c r="Z253" s="276">
        <f>IF(AND(W253&lt;&gt;"",U253="yes"),W253*X253,"")</f>
        <v/>
      </c>
      <c r="AA253" s="76" t="n"/>
    </row>
    <row r="254" customFormat="1" s="165">
      <c r="A254" s="254" t="inlineStr">
        <is>
          <t>select_one coping</t>
        </is>
      </c>
      <c r="B254" s="254" t="inlineStr">
        <is>
          <t>cs_crisis_decrease_expend_farming_inputs</t>
        </is>
      </c>
      <c r="C254" s="266" t="inlineStr">
        <is>
          <t>**decrease expenditures on farming inputs** (fertilizer, pesticide, seeds etc.)</t>
        </is>
      </c>
      <c r="D254" s="262" t="n"/>
      <c r="E254" s="262" t="n"/>
      <c r="F254" s="263" t="n"/>
      <c r="G254" s="263" t="n"/>
      <c r="H254" s="263" t="n"/>
      <c r="I254" s="256" t="inlineStr">
        <is>
          <t>true</t>
        </is>
      </c>
      <c r="J254" s="256" t="inlineStr">
        <is>
          <t>minimal</t>
        </is>
      </c>
      <c r="K254" s="264" t="n"/>
      <c r="L254" s="264" t="n"/>
      <c r="M254" s="264" t="n"/>
      <c r="N254" s="264" t="n"/>
      <c r="O254" s="264" t="n"/>
      <c r="P254" s="264" t="n"/>
      <c r="Q254" s="263" t="n"/>
      <c r="R254" s="263" t="n"/>
      <c r="S254" s="263" t="n"/>
      <c r="T254" s="263" t="n"/>
      <c r="U254" s="254" t="inlineStr">
        <is>
          <t>no</t>
        </is>
      </c>
      <c r="V254" s="263" t="n"/>
      <c r="W254" s="279" t="n">
        <v>14.41095890410959</v>
      </c>
      <c r="X254" s="265" t="n">
        <v>1</v>
      </c>
      <c r="Y254" s="280">
        <f>IF(W254&lt;&gt;"",W254*X254,"")</f>
        <v/>
      </c>
      <c r="Z254" s="276">
        <f>IF(AND(W254&lt;&gt;"",U254="yes"),W254*X254,"")</f>
        <v/>
      </c>
      <c r="AA254" s="76" t="n"/>
    </row>
    <row r="255" customFormat="1" s="165">
      <c r="A255" s="254" t="inlineStr">
        <is>
          <t>select_one coping</t>
        </is>
      </c>
      <c r="B255" s="254" t="inlineStr">
        <is>
          <t>cs_crisis_decrease_expend_livestock_inputs</t>
        </is>
      </c>
      <c r="C255" s="266" t="inlineStr">
        <is>
          <t>**decrease expenditures on livestock inputs** (fodder/feed, de-worming, vaccinations, consultations, drugs etc.)</t>
        </is>
      </c>
      <c r="D255" s="262" t="n"/>
      <c r="E255" s="262" t="n"/>
      <c r="F255" s="263" t="n"/>
      <c r="G255" s="263" t="n"/>
      <c r="H255" s="263" t="n"/>
      <c r="I255" s="256" t="inlineStr">
        <is>
          <t>true</t>
        </is>
      </c>
      <c r="J255" s="256" t="inlineStr">
        <is>
          <t>minimal</t>
        </is>
      </c>
      <c r="K255" s="264" t="n"/>
      <c r="L255" s="264" t="n"/>
      <c r="M255" s="264" t="n"/>
      <c r="N255" s="264" t="n"/>
      <c r="O255" s="264" t="n"/>
      <c r="P255" s="264" t="n"/>
      <c r="Q255" s="263" t="n"/>
      <c r="R255" s="263" t="n"/>
      <c r="S255" s="263" t="n"/>
      <c r="T255" s="263" t="n"/>
      <c r="U255" s="254" t="inlineStr">
        <is>
          <t>no</t>
        </is>
      </c>
      <c r="V255" s="263" t="n"/>
      <c r="W255" s="279" t="n">
        <v>15.40838527679443</v>
      </c>
      <c r="X255" s="265" t="n">
        <v>1</v>
      </c>
      <c r="Y255" s="280">
        <f>IF(W255&lt;&gt;"",W255*X255,"")</f>
        <v/>
      </c>
      <c r="Z255" s="276">
        <f>IF(AND(W255&lt;&gt;"",U255="yes"),W255*X255,"")</f>
        <v/>
      </c>
      <c r="AA255" s="76" t="n"/>
    </row>
    <row r="256" customFormat="1" s="165">
      <c r="A256" s="254" t="inlineStr">
        <is>
          <t>select_one coping</t>
        </is>
      </c>
      <c r="B256" s="254" t="inlineStr">
        <is>
          <t>cs_crisis_sell_all_prod_animals</t>
        </is>
      </c>
      <c r="C256" s="266" t="inlineStr">
        <is>
          <t>**sell all productive animals**</t>
        </is>
      </c>
      <c r="D256" s="262" t="n"/>
      <c r="E256" s="262" t="n"/>
      <c r="F256" s="263" t="n"/>
      <c r="G256" s="263" t="n"/>
      <c r="H256" s="263" t="n"/>
      <c r="I256" s="256" t="inlineStr">
        <is>
          <t>true</t>
        </is>
      </c>
      <c r="J256" s="256" t="inlineStr">
        <is>
          <t>minimal</t>
        </is>
      </c>
      <c r="K256" s="264" t="n"/>
      <c r="L256" s="264" t="n"/>
      <c r="M256" s="264" t="n"/>
      <c r="N256" s="264" t="n"/>
      <c r="O256" s="264" t="n"/>
      <c r="P256" s="264" t="n"/>
      <c r="Q256" s="263" t="n"/>
      <c r="R256" s="263" t="n"/>
      <c r="S256" s="263" t="n"/>
      <c r="T256" s="263" t="n"/>
      <c r="U256" s="254" t="inlineStr">
        <is>
          <t>no</t>
        </is>
      </c>
      <c r="V256" s="263" t="n"/>
      <c r="W256" s="279" t="n">
        <v>15.54398632049561</v>
      </c>
      <c r="X256" s="265" t="n">
        <v>1</v>
      </c>
      <c r="Y256" s="280">
        <f>IF(W256&lt;&gt;"",W256*X256,"")</f>
        <v/>
      </c>
      <c r="Z256" s="276">
        <f>IF(AND(W256&lt;&gt;"",U256="yes"),W256*X256,"")</f>
        <v/>
      </c>
      <c r="AA256" s="76" t="n"/>
    </row>
    <row r="257" customFormat="1" s="165">
      <c r="A257" s="254" t="inlineStr">
        <is>
          <t>select_one coping</t>
        </is>
      </c>
      <c r="B257" s="254" t="inlineStr">
        <is>
          <t>cs_crisis_forgone_farming_all_land</t>
        </is>
      </c>
      <c r="C257" s="266" t="inlineStr">
        <is>
          <t>**forgone farming all your land this year for lack of rain or factors**</t>
        </is>
      </c>
      <c r="D257" s="262" t="n"/>
      <c r="E257" s="262" t="n"/>
      <c r="F257" s="263" t="n"/>
      <c r="G257" s="263" t="n"/>
      <c r="H257" s="263" t="n"/>
      <c r="I257" s="256" t="inlineStr">
        <is>
          <t>true</t>
        </is>
      </c>
      <c r="J257" s="256" t="inlineStr">
        <is>
          <t>minimal</t>
        </is>
      </c>
      <c r="K257" s="264" t="n"/>
      <c r="L257" s="264" t="n"/>
      <c r="M257" s="264" t="n"/>
      <c r="N257" s="264" t="n"/>
      <c r="O257" s="264" t="n"/>
      <c r="P257" s="264" t="n"/>
      <c r="Q257" s="263" t="n"/>
      <c r="R257" s="263" t="n"/>
      <c r="S257" s="263" t="n"/>
      <c r="T257" s="263" t="n"/>
      <c r="U257" s="254" t="inlineStr">
        <is>
          <t>no</t>
        </is>
      </c>
      <c r="V257" s="263" t="n"/>
      <c r="W257" s="279" t="n">
        <v>12</v>
      </c>
      <c r="X257" s="265" t="n">
        <v>1</v>
      </c>
      <c r="Y257" s="280">
        <f>IF(W257&lt;&gt;"",W257*X257,"")</f>
        <v/>
      </c>
      <c r="Z257" s="276">
        <f>IF(AND(W257&lt;&gt;"",U257="yes"),W257*X257,"")</f>
        <v/>
      </c>
      <c r="AA257" s="76" t="n"/>
    </row>
    <row r="258" ht="28.8" customFormat="1" customHeight="1" s="165">
      <c r="A258" s="254" t="inlineStr">
        <is>
          <t>select_one coping</t>
        </is>
      </c>
      <c r="B258" s="254" t="inlineStr">
        <is>
          <t>cs_crisis_send_family_members_wage_labour</t>
        </is>
      </c>
      <c r="C258" s="261" t="inlineStr">
        <is>
          <t>**send family memebers for wage labour**(near villages/district center or provincial center)</t>
        </is>
      </c>
      <c r="D258" s="262" t="n"/>
      <c r="E258" s="262" t="n"/>
      <c r="F258" s="263" t="n"/>
      <c r="G258" s="263" t="n"/>
      <c r="H258" s="263" t="n"/>
      <c r="I258" s="256" t="inlineStr">
        <is>
          <t>true</t>
        </is>
      </c>
      <c r="J258" s="256" t="inlineStr">
        <is>
          <t>minimal</t>
        </is>
      </c>
      <c r="K258" s="264" t="n"/>
      <c r="L258" s="264" t="n"/>
      <c r="M258" s="264" t="n"/>
      <c r="N258" s="264" t="n"/>
      <c r="O258" s="264" t="n"/>
      <c r="P258" s="264" t="n"/>
      <c r="Q258" s="263" t="n"/>
      <c r="R258" s="263" t="n"/>
      <c r="S258" s="263" t="n"/>
      <c r="T258" s="263" t="n"/>
      <c r="U258" s="254" t="inlineStr">
        <is>
          <t>no</t>
        </is>
      </c>
      <c r="V258" s="263" t="n"/>
      <c r="W258" s="279" t="n">
        <v>12.99618148803711</v>
      </c>
      <c r="X258" s="265" t="n">
        <v>1</v>
      </c>
      <c r="Y258" s="280">
        <f>IF(W258&lt;&gt;"",W258*X258,"")</f>
        <v/>
      </c>
      <c r="Z258" s="276">
        <f>IF(AND(W258&lt;&gt;"",U258="yes"),W258*X258,"")</f>
        <v/>
      </c>
      <c r="AA258" s="76" t="n"/>
    </row>
    <row r="259" customFormat="1" s="165">
      <c r="A259" s="254" t="inlineStr">
        <is>
          <t>select_one coping</t>
        </is>
      </c>
      <c r="B259" s="254" t="inlineStr">
        <is>
          <t>cs_emergency_marry_child</t>
        </is>
      </c>
      <c r="C259" s="266" t="inlineStr">
        <is>
          <t>**have child (under 15) household members marry**</t>
        </is>
      </c>
      <c r="D259" s="262" t="n"/>
      <c r="E259" s="262" t="n"/>
      <c r="F259" s="263" t="n"/>
      <c r="G259" s="263" t="n"/>
      <c r="H259" s="263" t="n"/>
      <c r="I259" s="256" t="inlineStr">
        <is>
          <t>true</t>
        </is>
      </c>
      <c r="J259" s="256" t="inlineStr">
        <is>
          <t>minimal</t>
        </is>
      </c>
      <c r="K259" s="264" t="n"/>
      <c r="L259" s="264" t="n"/>
      <c r="M259" s="264" t="n"/>
      <c r="N259" s="264" t="n"/>
      <c r="O259" s="264" t="n"/>
      <c r="P259" s="264" t="n"/>
      <c r="Q259" s="263" t="n"/>
      <c r="R259" s="263" t="n"/>
      <c r="S259" s="263" t="n"/>
      <c r="T259" s="263" t="n"/>
      <c r="U259" s="254" t="inlineStr">
        <is>
          <t>no</t>
        </is>
      </c>
      <c r="V259" s="263" t="n"/>
      <c r="W259" s="279" t="n">
        <v>14.75238990783691</v>
      </c>
      <c r="X259" s="265" t="n">
        <v>1</v>
      </c>
      <c r="Y259" s="280">
        <f>IF(W259&lt;&gt;"",W259*X259,"")</f>
        <v/>
      </c>
      <c r="Z259" s="276">
        <f>IF(AND(W259&lt;&gt;"",U259="yes"),W259*X259,"")</f>
        <v/>
      </c>
      <c r="AA259" s="76" t="n"/>
    </row>
    <row r="260" customFormat="1" s="165">
      <c r="A260" s="254" t="inlineStr">
        <is>
          <t>select_one coping</t>
        </is>
      </c>
      <c r="B260" s="254" t="inlineStr">
        <is>
          <t>cs_emergency_sell_land_all_herd</t>
        </is>
      </c>
      <c r="C260" s="266" t="inlineStr">
        <is>
          <t>**Sell house or all your land (cultivable) or entire herd**</t>
        </is>
      </c>
      <c r="D260" s="262" t="n"/>
      <c r="E260" s="262" t="n"/>
      <c r="F260" s="263" t="n"/>
      <c r="G260" s="263" t="n"/>
      <c r="H260" s="263" t="n"/>
      <c r="I260" s="256" t="inlineStr">
        <is>
          <t>true</t>
        </is>
      </c>
      <c r="J260" s="256" t="inlineStr">
        <is>
          <t>minimal</t>
        </is>
      </c>
      <c r="K260" s="264" t="n"/>
      <c r="L260" s="264" t="n"/>
      <c r="M260" s="264" t="n"/>
      <c r="N260" s="264" t="n"/>
      <c r="O260" s="264" t="n"/>
      <c r="P260" s="264" t="n"/>
      <c r="Q260" s="263" t="n"/>
      <c r="R260" s="263" t="n"/>
      <c r="S260" s="263" t="n"/>
      <c r="T260" s="263" t="n"/>
      <c r="U260" s="254" t="inlineStr">
        <is>
          <t>no</t>
        </is>
      </c>
      <c r="V260" s="263" t="n"/>
      <c r="W260" s="279" t="n">
        <v>10.66811275482178</v>
      </c>
      <c r="X260" s="265" t="n">
        <v>1</v>
      </c>
      <c r="Y260" s="280">
        <f>IF(W260&lt;&gt;"",W260*X260,"")</f>
        <v/>
      </c>
      <c r="Z260" s="276">
        <f>IF(AND(W260&lt;&gt;"",U260="yes"),W260*X260,"")</f>
        <v/>
      </c>
      <c r="AA260" s="76" t="n"/>
    </row>
    <row r="261" customFormat="1" s="165">
      <c r="A261" s="254" t="inlineStr">
        <is>
          <t>select_one coping</t>
        </is>
      </c>
      <c r="B261" s="254" t="inlineStr">
        <is>
          <t>cs_emergency_hh_migration</t>
        </is>
      </c>
      <c r="C261" s="261" t="inlineStr">
        <is>
          <t>**migrate with the whole household**(typical migration for job search not included)</t>
        </is>
      </c>
      <c r="D261" s="262" t="n"/>
      <c r="E261" s="262" t="n"/>
      <c r="F261" s="263" t="n"/>
      <c r="G261" s="263" t="n"/>
      <c r="H261" s="263" t="n"/>
      <c r="I261" s="256" t="inlineStr">
        <is>
          <t>true</t>
        </is>
      </c>
      <c r="J261" s="256" t="inlineStr">
        <is>
          <t>minimal</t>
        </is>
      </c>
      <c r="K261" s="264" t="n"/>
      <c r="L261" s="264" t="n"/>
      <c r="M261" s="264" t="n"/>
      <c r="N261" s="264" t="n"/>
      <c r="O261" s="264" t="n"/>
      <c r="P261" s="264" t="n"/>
      <c r="Q261" s="263" t="n"/>
      <c r="R261" s="263" t="n"/>
      <c r="S261" s="263" t="n"/>
      <c r="T261" s="263" t="n"/>
      <c r="U261" s="254" t="inlineStr">
        <is>
          <t>no</t>
        </is>
      </c>
      <c r="V261" s="263" t="n"/>
      <c r="W261" s="279" t="n">
        <v>9.716710090637207</v>
      </c>
      <c r="X261" s="265" t="n">
        <v>1</v>
      </c>
      <c r="Y261" s="280">
        <f>IF(W261&lt;&gt;"",W261*X261,"")</f>
        <v/>
      </c>
      <c r="Z261" s="276">
        <f>IF(AND(W261&lt;&gt;"",U261="yes"),W261*X261,"")</f>
        <v/>
      </c>
      <c r="AA261" s="76" t="n"/>
    </row>
    <row r="262">
      <c r="A262" s="77" t="inlineStr">
        <is>
          <t>end_group</t>
        </is>
      </c>
      <c r="B262" s="77" t="n"/>
      <c r="C262" s="78" t="n"/>
      <c r="D262" s="88" t="n"/>
      <c r="E262" s="88" t="n"/>
      <c r="G262" s="89" t="n"/>
      <c r="H262" s="89" t="n"/>
      <c r="I262" s="118" t="n"/>
      <c r="U262" s="45" t="inlineStr"/>
      <c r="W262" s="275" t="inlineStr"/>
      <c r="X262" s="109" t="n">
        <v>1</v>
      </c>
      <c r="Y262" s="276">
        <f>IF(W262&lt;&gt;"",W262*X262,"")</f>
        <v/>
      </c>
      <c r="Z262" s="276">
        <f>IF(AND(W262&lt;&gt;"",U262="yes"),W262*X262,"")</f>
        <v/>
      </c>
    </row>
    <row r="263">
      <c r="A263" s="76" t="n"/>
      <c r="B263" s="76" t="n"/>
      <c r="D263" s="88" t="n"/>
      <c r="E263" s="88" t="n"/>
      <c r="G263" s="89" t="n"/>
      <c r="H263" s="89" t="n"/>
      <c r="U263" s="45" t="inlineStr"/>
      <c r="W263" s="275" t="inlineStr"/>
      <c r="X263" s="109" t="n">
        <v>1</v>
      </c>
      <c r="Y263" s="276">
        <f>IF(W263&lt;&gt;"",W263*X263,"")</f>
        <v/>
      </c>
      <c r="Z263" s="276">
        <f>IF(AND(W263&lt;&gt;"",U263="yes"),W263*X263,"")</f>
        <v/>
      </c>
    </row>
    <row r="264">
      <c r="A264" s="80" t="inlineStr">
        <is>
          <t>begin_group</t>
        </is>
      </c>
      <c r="B264" s="80" t="inlineStr">
        <is>
          <t>grp_hdds</t>
        </is>
      </c>
      <c r="C264" s="94" t="inlineStr">
        <is>
          <t>HDDS</t>
        </is>
      </c>
      <c r="D264" s="88" t="n"/>
      <c r="E264" s="88" t="n"/>
      <c r="F264" s="75" t="n"/>
      <c r="G264" s="89" t="n"/>
      <c r="H264" s="89" t="n"/>
      <c r="I264" s="117" t="n"/>
      <c r="J264" s="117" t="n"/>
      <c r="K264" s="117" t="n"/>
      <c r="L264" s="117" t="n"/>
      <c r="M264" s="117" t="n"/>
      <c r="N264" s="117" t="n"/>
      <c r="O264" s="117" t="n"/>
      <c r="P264" s="117" t="n"/>
      <c r="W264" s="275" t="n"/>
      <c r="X264" s="109" t="n">
        <v>1</v>
      </c>
      <c r="Y264" s="276">
        <f>IF(W264&lt;&gt;"",W264*X264,"")</f>
        <v/>
      </c>
      <c r="Z264" s="276">
        <f>IF(AND(W264&lt;&gt;"",U264="yes"),W264*X264,"")</f>
        <v/>
      </c>
    </row>
    <row r="265" ht="28.8" customHeight="1">
      <c r="A265" s="75" t="inlineStr">
        <is>
          <t>note</t>
        </is>
      </c>
      <c r="B265" s="75" t="inlineStr">
        <is>
          <t>hdds_intro</t>
        </is>
      </c>
      <c r="C265" s="44" t="inlineStr">
        <is>
          <t>Now I would like to ask you about a set of questions on food consumption, referring to the *24 hours of yesterday*.</t>
        </is>
      </c>
      <c r="D265" s="88" t="n"/>
      <c r="E265" s="88" t="n"/>
      <c r="F265" s="75" t="n"/>
      <c r="G265" s="89" t="n"/>
      <c r="H265" s="89" t="n"/>
      <c r="I265" s="117" t="inlineStr">
        <is>
          <t>false</t>
        </is>
      </c>
      <c r="J265" s="117" t="n"/>
      <c r="K265" s="117" t="n"/>
      <c r="L265" s="117" t="n"/>
      <c r="M265" s="117" t="n"/>
      <c r="N265" s="117" t="n"/>
      <c r="O265" s="117" t="n"/>
      <c r="P265" s="117" t="n"/>
      <c r="U265" s="45" t="inlineStr">
        <is>
          <t>yes</t>
        </is>
      </c>
      <c r="W265" s="275" t="n"/>
      <c r="X265" s="109" t="n">
        <v>1</v>
      </c>
      <c r="Y265" s="276">
        <f>IF(W265&lt;&gt;"",W265*X265,"")</f>
        <v/>
      </c>
      <c r="Z265" s="276">
        <f>IF(AND(W265&lt;&gt;"",U265="yes"),W265*X265,"")</f>
        <v/>
      </c>
    </row>
    <row r="266" ht="43.2" customHeight="1">
      <c r="A266" s="75" t="inlineStr">
        <is>
          <t>select_multiple hdds</t>
        </is>
      </c>
      <c r="B266" s="75" t="inlineStr">
        <is>
          <t>hdds</t>
        </is>
      </c>
      <c r="C266" s="44" t="inlineStr">
        <is>
          <t>Please describe the foods (meals and snacks) that you or any household member ate or drank at home yesterday (in the *24 hours of yesterday*: breakfast, lunch, dinner and snacks).</t>
        </is>
      </c>
      <c r="D266" s="88" t="n"/>
      <c r="E266" s="88" t="n"/>
      <c r="F266" s="75" t="inlineStr">
        <is>
          <t>[INSTRUCTIONS: SELECT ALL FOOD GROUPS CONSUMED IN THE 24 HOURS OF YESTERDAY AS THE RESPONDENT ANSWERS. MULTIPLE RESPONSES POSSIBLE.]</t>
        </is>
      </c>
      <c r="G266" s="89" t="n"/>
      <c r="H266" s="89" t="n"/>
      <c r="I266" s="117" t="inlineStr">
        <is>
          <t>true</t>
        </is>
      </c>
      <c r="J266" s="117" t="n"/>
      <c r="K266" s="117" t="n"/>
      <c r="L266" s="117" t="n"/>
      <c r="M266" s="117" t="n"/>
      <c r="N266" s="117" t="n"/>
      <c r="O266" s="117" t="n"/>
      <c r="P266" s="117" t="n"/>
      <c r="U266" s="45" t="inlineStr">
        <is>
          <t>yes</t>
        </is>
      </c>
      <c r="W266" s="275" t="n">
        <v>72.29513549804688</v>
      </c>
      <c r="X266" s="109" t="n">
        <v>1</v>
      </c>
      <c r="Y266" s="276">
        <f>IF(W266&lt;&gt;"",W266*X266,"")</f>
        <v/>
      </c>
      <c r="Z266" s="276">
        <f>IF(AND(W266&lt;&gt;"",U266="yes"),W266*X266,"")</f>
        <v/>
      </c>
    </row>
    <row r="267" ht="43.2" customHeight="1">
      <c r="A267" s="75" t="inlineStr">
        <is>
          <t>note</t>
        </is>
      </c>
      <c r="B267" s="75" t="inlineStr">
        <is>
          <t>hdds_confirmation</t>
        </is>
      </c>
      <c r="C267" s="44" t="inlineStr">
        <is>
          <t>[INSTRUCTIONS: Remember to probe for snacks, special foods given to children or pregnant women, ingredients in mixed dishes. At the end, probe for any food groups not specified.]</t>
        </is>
      </c>
      <c r="D267" s="88" t="n"/>
      <c r="E267" s="88" t="n"/>
      <c r="F267" s="75" t="n"/>
      <c r="G267" s="89" t="n"/>
      <c r="H267" s="89" t="n"/>
      <c r="I267" s="117" t="inlineStr">
        <is>
          <t>false</t>
        </is>
      </c>
      <c r="J267" s="117" t="n"/>
      <c r="K267" s="117" t="n"/>
      <c r="L267" s="117" t="n"/>
      <c r="M267" s="117" t="n"/>
      <c r="N267" s="117" t="n"/>
      <c r="O267" s="117" t="n"/>
      <c r="P267" s="117" t="n"/>
      <c r="U267" s="45" t="inlineStr">
        <is>
          <t>yes</t>
        </is>
      </c>
      <c r="W267" s="275" t="n">
        <v>3.705221891403198</v>
      </c>
      <c r="X267" s="109" t="n">
        <v>1</v>
      </c>
      <c r="Y267" s="276">
        <f>IF(W267&lt;&gt;"",W267*X267,"")</f>
        <v/>
      </c>
      <c r="Z267" s="276">
        <f>IF(AND(W267&lt;&gt;"",U267="yes"),W267*X267,"")</f>
        <v/>
      </c>
    </row>
    <row r="268" ht="16.05" customHeight="1">
      <c r="A268" s="75" t="inlineStr">
        <is>
          <t>end_group</t>
        </is>
      </c>
      <c r="B268" s="75" t="n"/>
      <c r="C268" s="44" t="n"/>
      <c r="D268" s="88" t="n"/>
      <c r="E268" s="88" t="n"/>
      <c r="F268" s="75" t="n"/>
      <c r="G268" s="89" t="n"/>
      <c r="H268" s="89" t="n"/>
      <c r="I268" s="117" t="n"/>
      <c r="J268" s="117" t="n"/>
      <c r="K268" s="117" t="n"/>
      <c r="L268" s="117" t="n"/>
      <c r="M268" s="117" t="n"/>
      <c r="N268" s="117" t="n"/>
      <c r="O268" s="117" t="n"/>
      <c r="P268" s="117" t="n"/>
      <c r="W268" s="275" t="inlineStr"/>
      <c r="X268" s="109" t="n">
        <v>1</v>
      </c>
      <c r="Y268" s="276">
        <f>IF(W268&lt;&gt;"",W268*X268,"")</f>
        <v/>
      </c>
      <c r="Z268" s="276">
        <f>IF(AND(W268&lt;&gt;"",U268="yes"),W268*X268,"")</f>
        <v/>
      </c>
    </row>
    <row r="269">
      <c r="A269" s="76" t="n"/>
      <c r="B269" s="76" t="n"/>
      <c r="D269" s="88" t="n"/>
      <c r="E269" s="88" t="n"/>
      <c r="G269" s="89" t="n"/>
      <c r="H269" s="89" t="n"/>
      <c r="U269" s="45" t="inlineStr"/>
      <c r="W269" s="275" t="inlineStr"/>
      <c r="X269" s="109" t="n">
        <v>1</v>
      </c>
      <c r="Y269" s="276">
        <f>IF(W269&lt;&gt;"",W269*X269,"")</f>
        <v/>
      </c>
      <c r="Z269" s="276">
        <f>IF(AND(W269&lt;&gt;"",U269="yes"),W269*X269,"")</f>
        <v/>
      </c>
    </row>
    <row r="270" customFormat="1" s="77">
      <c r="A270" s="77" t="inlineStr">
        <is>
          <t>begin_group</t>
        </is>
      </c>
      <c r="B270" s="77" t="inlineStr">
        <is>
          <t>grp_fcs</t>
        </is>
      </c>
      <c r="C270" s="78" t="inlineStr">
        <is>
          <t>FCS</t>
        </is>
      </c>
      <c r="D270" s="79" t="n"/>
      <c r="E270" s="79" t="n"/>
      <c r="G270" s="83" t="n"/>
      <c r="H270" s="83" t="n"/>
      <c r="I270" s="118" t="n"/>
      <c r="J270" s="118" t="n"/>
      <c r="K270" s="118" t="n"/>
      <c r="L270" s="118" t="n"/>
      <c r="M270" s="118" t="n"/>
      <c r="N270" s="118" t="n"/>
      <c r="O270" s="118" t="n"/>
      <c r="P270" s="118" t="n"/>
      <c r="U270" s="77" t="inlineStr">
        <is>
          <t>no</t>
        </is>
      </c>
      <c r="W270" s="275" t="n"/>
      <c r="X270" s="109" t="n">
        <v>1</v>
      </c>
      <c r="Y270" s="276">
        <f>IF(W270&lt;&gt;"",W270*X270,"")</f>
        <v/>
      </c>
      <c r="Z270" s="276">
        <f>IF(AND(W270&lt;&gt;"",U270="yes"),W270*X270,"")</f>
        <v/>
      </c>
    </row>
    <row r="271" ht="28.8" customFormat="1" customHeight="1" s="78">
      <c r="A271" s="78" t="inlineStr">
        <is>
          <t>note</t>
        </is>
      </c>
      <c r="B271" s="78" t="inlineStr">
        <is>
          <t>fcs_intro</t>
        </is>
      </c>
      <c r="C271" s="78" t="inlineStr">
        <is>
          <t>Now I would like to ask you about the foods and drinks your household ate or drank in  *the last 7 days* during the day and at night [breakfast, lunch, dinner, snacks].</t>
        </is>
      </c>
      <c r="D271" s="79" t="n"/>
      <c r="E271" s="79" t="n"/>
      <c r="G271" s="79" t="n"/>
      <c r="H271" s="79" t="n"/>
      <c r="I271" s="118" t="inlineStr">
        <is>
          <t>false</t>
        </is>
      </c>
      <c r="J271" s="133" t="n"/>
      <c r="K271" s="133" t="n"/>
      <c r="L271" s="118" t="n"/>
      <c r="M271" s="133" t="n"/>
      <c r="N271" s="133" t="n"/>
      <c r="O271" s="133" t="n"/>
      <c r="P271" s="133" t="n"/>
      <c r="U271" s="78" t="inlineStr">
        <is>
          <t>no</t>
        </is>
      </c>
      <c r="W271" s="275" t="n">
        <v>0</v>
      </c>
      <c r="X271" s="109" t="n">
        <v>1</v>
      </c>
      <c r="Y271" s="276">
        <f>IF(W271&lt;&gt;"",W271*X271,"")</f>
        <v/>
      </c>
      <c r="Z271" s="276">
        <f>IF(AND(W271&lt;&gt;"",U271="yes"),W271*X271,"")</f>
        <v/>
      </c>
    </row>
    <row r="272" ht="43.2" customFormat="1" customHeight="1" s="78">
      <c r="A272" s="78" t="inlineStr">
        <is>
          <t>integer</t>
        </is>
      </c>
      <c r="B272" s="78" t="inlineStr">
        <is>
          <t>fcs_staple_days</t>
        </is>
      </c>
      <c r="C272" s="78" t="inlineStr">
        <is>
          <t>How many days over *the last 7 days*, did members of your household eat **starches, roots and tubers** such as rice, maize, pasta, bread, sorghum, millet, potato, yam, cassava, white sweet potato?</t>
        </is>
      </c>
      <c r="D272" s="79" t="n"/>
      <c r="E272" s="79" t="n"/>
      <c r="F272" s="77" t="inlineStr">
        <is>
          <t>[INSTRUCTIONS: RECORD NUMBER OF DAYS 0 - 7. IF CONSUMED ONLY IN SMALL QUANTITY, DO NOT INCLUDE.]</t>
        </is>
      </c>
      <c r="G272" s="79" t="n"/>
      <c r="H272" s="79" t="n"/>
      <c r="I272" s="118" t="inlineStr">
        <is>
          <t>true</t>
        </is>
      </c>
      <c r="J272" s="133" t="n"/>
      <c r="K272" s="133" t="inlineStr">
        <is>
          <t>.&gt;= 0 and .&lt;=7</t>
        </is>
      </c>
      <c r="L272" s="118" t="inlineStr">
        <is>
          <t>The answer must be between 0 and 7 days</t>
        </is>
      </c>
      <c r="M272" s="133" t="n"/>
      <c r="N272" s="133" t="n"/>
      <c r="O272" s="133" t="n"/>
      <c r="P272" s="133" t="n"/>
      <c r="U272" s="78" t="inlineStr">
        <is>
          <t>no</t>
        </is>
      </c>
      <c r="W272" s="275" t="n">
        <v>17</v>
      </c>
      <c r="X272" s="109" t="n">
        <v>1</v>
      </c>
      <c r="Y272" s="276">
        <f>IF(W272&lt;&gt;"",W272*X272,"")</f>
        <v/>
      </c>
      <c r="Z272" s="276">
        <f>IF(AND(W272&lt;&gt;"",U272="yes"),W272*X272,"")</f>
        <v/>
      </c>
    </row>
    <row r="273" ht="43.2" customFormat="1" customHeight="1" s="78">
      <c r="A273" s="78" t="inlineStr">
        <is>
          <t>integer</t>
        </is>
      </c>
      <c r="B273" s="78" t="inlineStr">
        <is>
          <t>fcs_pulses_days</t>
        </is>
      </c>
      <c r="C273" s="78" t="inlineStr">
        <is>
          <t>How many days over *the last 7 days*, did members of your household eat** pulses and nuts such as beans, lentils, cowpeas, soybean, pigeon peas and peanuts or other nuts**?</t>
        </is>
      </c>
      <c r="D273" s="79" t="n"/>
      <c r="E273" s="79" t="n"/>
      <c r="F273" s="77" t="inlineStr">
        <is>
          <t>[INSTRUCTIONS: RECORD NUMBER OF DAYS 0 - 7. IF CONSUMED ONLY IN SMALL QUANTITY, DO NOT INCLUDE.]</t>
        </is>
      </c>
      <c r="G273" s="79" t="n"/>
      <c r="H273" s="79" t="n"/>
      <c r="I273" s="118" t="inlineStr">
        <is>
          <t>true</t>
        </is>
      </c>
      <c r="J273" s="133" t="n"/>
      <c r="K273" s="133" t="inlineStr">
        <is>
          <t>.&gt;= 0 and .&lt;=7</t>
        </is>
      </c>
      <c r="L273" s="118" t="inlineStr">
        <is>
          <t>The answer must be between 0 and 7 days</t>
        </is>
      </c>
      <c r="M273" s="133" t="n"/>
      <c r="N273" s="133" t="n"/>
      <c r="O273" s="133" t="n"/>
      <c r="P273" s="133" t="n"/>
      <c r="U273" s="78" t="inlineStr">
        <is>
          <t>no</t>
        </is>
      </c>
      <c r="W273" s="275" t="n">
        <v>17</v>
      </c>
      <c r="X273" s="109" t="n">
        <v>1</v>
      </c>
      <c r="Y273" s="276">
        <f>IF(W273&lt;&gt;"",W273*X273,"")</f>
        <v/>
      </c>
      <c r="Z273" s="276">
        <f>IF(AND(W273&lt;&gt;"",U273="yes"),W273*X273,"")</f>
        <v/>
      </c>
    </row>
    <row r="274" ht="28.8" customFormat="1" customHeight="1" s="78">
      <c r="A274" s="78" t="inlineStr">
        <is>
          <t>integer</t>
        </is>
      </c>
      <c r="B274" s="78" t="inlineStr">
        <is>
          <t>fcs_vegetables_days</t>
        </is>
      </c>
      <c r="C274" s="78" t="inlineStr">
        <is>
          <t>How many days over *the last 7 days*, did members of your household eat **vegetables or leaves** such as Okra, eggplant, lettuce,carrots,beans, spinach, tomatoes, onions and/or other leaves/vegetables?</t>
        </is>
      </c>
      <c r="D274" s="79" t="n"/>
      <c r="E274" s="79" t="n"/>
      <c r="F274" s="77" t="inlineStr">
        <is>
          <t>[INSTRUCTIONS: RECORD NUMBER OF DAYS 0 - 7. IF CONSUMED ONLY IN SMALL QUANTITY, DO NOT INCLUDE.]</t>
        </is>
      </c>
      <c r="G274" s="79" t="n"/>
      <c r="H274" s="79" t="n"/>
      <c r="I274" s="118" t="inlineStr">
        <is>
          <t>true</t>
        </is>
      </c>
      <c r="J274" s="133" t="n"/>
      <c r="K274" s="133" t="inlineStr">
        <is>
          <t>.&gt;= 0 and .&lt;=7</t>
        </is>
      </c>
      <c r="L274" s="118" t="inlineStr">
        <is>
          <t>The answer must be between 0 and 7 days</t>
        </is>
      </c>
      <c r="M274" s="133" t="n"/>
      <c r="N274" s="133" t="n"/>
      <c r="O274" s="133" t="n"/>
      <c r="P274" s="133" t="n"/>
      <c r="U274" s="78" t="inlineStr">
        <is>
          <t>no</t>
        </is>
      </c>
      <c r="W274" s="275" t="n">
        <v>17</v>
      </c>
      <c r="X274" s="109" t="n">
        <v>1</v>
      </c>
      <c r="Y274" s="276">
        <f>IF(W274&lt;&gt;"",W274*X274,"")</f>
        <v/>
      </c>
      <c r="Z274" s="276">
        <f>IF(AND(W274&lt;&gt;"",U274="yes"),W274*X274,"")</f>
        <v/>
      </c>
    </row>
    <row r="275" ht="28.8" customFormat="1" customHeight="1" s="78">
      <c r="A275" s="78" t="inlineStr">
        <is>
          <t>integer</t>
        </is>
      </c>
      <c r="B275" s="78" t="inlineStr">
        <is>
          <t>fcs_fruit_days</t>
        </is>
      </c>
      <c r="C275" s="78" t="inlineStr">
        <is>
          <t>How many days over *the last 7 days*, did members of your household eat **fruit** such as Apple, apricot, cherry, peach, water melon,  and/or other fruits?</t>
        </is>
      </c>
      <c r="D275" s="79" t="n"/>
      <c r="E275" s="79" t="n"/>
      <c r="F275" s="77" t="inlineStr">
        <is>
          <t>[INSTRUCTIONS: RECORD NUMBER OF DAYS 0 - 7. IF CONSUMED ONLY IN SMALL QUANTITY, DO NOT INCLUDE.]</t>
        </is>
      </c>
      <c r="G275" s="79" t="n"/>
      <c r="H275" s="79" t="n"/>
      <c r="I275" s="118" t="inlineStr">
        <is>
          <t>true</t>
        </is>
      </c>
      <c r="J275" s="133" t="n"/>
      <c r="K275" s="133" t="inlineStr">
        <is>
          <t>.&gt;= 0 and .&lt;=7</t>
        </is>
      </c>
      <c r="L275" s="118" t="inlineStr">
        <is>
          <t>The answer must be between 0 and 7 days</t>
        </is>
      </c>
      <c r="M275" s="133" t="n"/>
      <c r="N275" s="133" t="n"/>
      <c r="O275" s="133" t="n"/>
      <c r="P275" s="133" t="n"/>
      <c r="U275" s="78" t="inlineStr">
        <is>
          <t>no</t>
        </is>
      </c>
      <c r="W275" s="275" t="n">
        <v>17</v>
      </c>
      <c r="X275" s="109" t="n">
        <v>1</v>
      </c>
      <c r="Y275" s="276">
        <f>IF(W275&lt;&gt;"",W275*X275,"")</f>
        <v/>
      </c>
      <c r="Z275" s="276">
        <f>IF(AND(W275&lt;&gt;"",U275="yes"),W275*X275,"")</f>
        <v/>
      </c>
    </row>
    <row r="276" ht="43.2" customFormat="1" customHeight="1" s="78">
      <c r="A276" s="78" t="inlineStr">
        <is>
          <t>integer</t>
        </is>
      </c>
      <c r="B276" s="78" t="inlineStr">
        <is>
          <t>fcs_meat_fish_days</t>
        </is>
      </c>
      <c r="C276" s="78" t="inlineStr">
        <is>
          <t>How many days over *the last 7 days*, did members of your household eat **meat, eggs or fish** [any type of meat or fish including insects, birds, bush meat, seafood, or organs]?</t>
        </is>
      </c>
      <c r="D276" s="79" t="n"/>
      <c r="E276" s="79" t="n"/>
      <c r="F276" s="77" t="inlineStr">
        <is>
          <t>[INSTRUCTIONS: RECORD NUMBER OF DAYS 0 - 7. IF CONSUMED ONLY IN SMALL QUANTITY, DO NOT INCLUDE.]</t>
        </is>
      </c>
      <c r="G276" s="79" t="n"/>
      <c r="H276" s="79" t="n"/>
      <c r="I276" s="118" t="inlineStr">
        <is>
          <t>true</t>
        </is>
      </c>
      <c r="J276" s="133" t="n"/>
      <c r="K276" s="133" t="inlineStr">
        <is>
          <t>.&gt;= 0 and .&lt;=7</t>
        </is>
      </c>
      <c r="L276" s="118" t="inlineStr">
        <is>
          <t>The answer must be between 0 and 7 days</t>
        </is>
      </c>
      <c r="M276" s="133" t="n"/>
      <c r="N276" s="133" t="n"/>
      <c r="O276" s="133" t="n"/>
      <c r="P276" s="133" t="n"/>
      <c r="U276" s="78" t="inlineStr">
        <is>
          <t>no</t>
        </is>
      </c>
      <c r="W276" s="275" t="n">
        <v>17</v>
      </c>
      <c r="X276" s="109" t="n">
        <v>1</v>
      </c>
      <c r="Y276" s="276">
        <f>IF(W276&lt;&gt;"",W276*X276,"")</f>
        <v/>
      </c>
      <c r="Z276" s="276">
        <f>IF(AND(W276&lt;&gt;"",U276="yes"),W276*X276,"")</f>
        <v/>
      </c>
    </row>
    <row r="277" ht="43.2" customFormat="1" customHeight="1" s="78">
      <c r="A277" s="78" t="inlineStr">
        <is>
          <t>integer</t>
        </is>
      </c>
      <c r="B277" s="78" t="inlineStr">
        <is>
          <t>fcs_dairy_days</t>
        </is>
      </c>
      <c r="C277" s="78" t="inlineStr">
        <is>
          <t>How many days over *the last 7 days*, did members of your household consume fresh milk, sour milk, yogurt, cheese or other **dairy products** [excluding margarine/butter or small amounts of milk for tea/ coffee]?</t>
        </is>
      </c>
      <c r="D277" s="79" t="n"/>
      <c r="E277" s="79" t="n"/>
      <c r="F277" s="77" t="inlineStr">
        <is>
          <t>[INSTRUCTIONS: RECORD NUMBER OF DAYS 0 - 7. IF CONSUMED ONLY IN SMALL QUANTITY, DO NOT INCLUDE.]</t>
        </is>
      </c>
      <c r="G277" s="79" t="n"/>
      <c r="H277" s="79" t="n"/>
      <c r="I277" s="118" t="inlineStr">
        <is>
          <t>true</t>
        </is>
      </c>
      <c r="J277" s="133" t="n"/>
      <c r="K277" s="133" t="inlineStr">
        <is>
          <t>.&gt;= 0 and .&lt;=7</t>
        </is>
      </c>
      <c r="L277" s="118" t="inlineStr">
        <is>
          <t>The answer must be between 0 and 7 days</t>
        </is>
      </c>
      <c r="M277" s="133" t="n"/>
      <c r="N277" s="133" t="n"/>
      <c r="O277" s="133" t="n"/>
      <c r="P277" s="133" t="n"/>
      <c r="U277" s="78" t="inlineStr">
        <is>
          <t>no</t>
        </is>
      </c>
      <c r="W277" s="275" t="n">
        <v>17</v>
      </c>
      <c r="X277" s="109" t="n">
        <v>1</v>
      </c>
      <c r="Y277" s="276">
        <f>IF(W277&lt;&gt;"",W277*X277,"")</f>
        <v/>
      </c>
      <c r="Z277" s="276">
        <f>IF(AND(W277&lt;&gt;"",U277="yes"),W277*X277,"")</f>
        <v/>
      </c>
    </row>
    <row r="278" ht="43.2" customFormat="1" customHeight="1" s="78">
      <c r="A278" s="78" t="inlineStr">
        <is>
          <t>integer</t>
        </is>
      </c>
      <c r="B278" s="78" t="inlineStr">
        <is>
          <t>fcs_sugar_days</t>
        </is>
      </c>
      <c r="C278" s="78" t="inlineStr">
        <is>
          <t>How many days over *the last 7 days*, did members of your household consume **sugar or sweets** such as sugar, honey, jam, cakes, candy, cookies, pastries, cakes and other sweets and sugary drinks?</t>
        </is>
      </c>
      <c r="D278" s="79" t="n"/>
      <c r="E278" s="79" t="n"/>
      <c r="F278" s="77" t="inlineStr">
        <is>
          <t>[INSTRUCTIONS: RECORD NUMBER OF DAYS 0 - 7. IF CONSUMED ONLY IN SMALL QUANTITY, DO NOT INCLUDE.]</t>
        </is>
      </c>
      <c r="G278" s="79" t="n"/>
      <c r="H278" s="79" t="n"/>
      <c r="I278" s="118" t="inlineStr">
        <is>
          <t>true</t>
        </is>
      </c>
      <c r="J278" s="133" t="n"/>
      <c r="K278" s="133" t="inlineStr">
        <is>
          <t>.&gt;= 0 and .&lt;=7</t>
        </is>
      </c>
      <c r="L278" s="118" t="inlineStr">
        <is>
          <t>The answer must be between 0 and 7 days</t>
        </is>
      </c>
      <c r="M278" s="133" t="n"/>
      <c r="N278" s="133" t="n"/>
      <c r="O278" s="133" t="n"/>
      <c r="P278" s="133" t="n"/>
      <c r="U278" s="78" t="inlineStr">
        <is>
          <t>no</t>
        </is>
      </c>
      <c r="W278" s="275" t="n">
        <v>17</v>
      </c>
      <c r="X278" s="109" t="n">
        <v>1</v>
      </c>
      <c r="Y278" s="276">
        <f>IF(W278&lt;&gt;"",W278*X278,"")</f>
        <v/>
      </c>
      <c r="Z278" s="276">
        <f>IF(AND(W278&lt;&gt;"",U278="yes"),W278*X278,"")</f>
        <v/>
      </c>
    </row>
    <row r="279" ht="43.2" customFormat="1" customHeight="1" s="78">
      <c r="A279" s="78" t="inlineStr">
        <is>
          <t>integer</t>
        </is>
      </c>
      <c r="B279" s="78" t="inlineStr">
        <is>
          <t>fcs_oil_days</t>
        </is>
      </c>
      <c r="C279" s="78" t="inlineStr">
        <is>
          <t>How many days over *the last 7 days*, did members of your household eat **oil/fat/butter** such as vegetable oil, palm oil, groundnut oil, margarine, other fats / oil?</t>
        </is>
      </c>
      <c r="D279" s="79" t="n"/>
      <c r="E279" s="79" t="n"/>
      <c r="F279" s="77" t="inlineStr">
        <is>
          <t>[INSTRUCTIONS: RECORD NUMBER OF DAYS 0 - 7. IF CONSUMED ONLY IN SMALL QUANTITY, DO NOT INCLUDE.]</t>
        </is>
      </c>
      <c r="G279" s="79" t="n"/>
      <c r="H279" s="79" t="n"/>
      <c r="I279" s="118" t="inlineStr">
        <is>
          <t>true</t>
        </is>
      </c>
      <c r="J279" s="133" t="n"/>
      <c r="K279" s="133" t="inlineStr">
        <is>
          <t>.&gt;= 0 and .&lt;=7</t>
        </is>
      </c>
      <c r="L279" s="118" t="inlineStr">
        <is>
          <t>The answer must be between 0 and 7 days</t>
        </is>
      </c>
      <c r="M279" s="133" t="n"/>
      <c r="N279" s="133" t="n"/>
      <c r="O279" s="133" t="n"/>
      <c r="P279" s="133" t="n"/>
      <c r="U279" s="78" t="inlineStr">
        <is>
          <t>no</t>
        </is>
      </c>
      <c r="W279" s="275" t="n">
        <v>17</v>
      </c>
      <c r="X279" s="109" t="n">
        <v>1</v>
      </c>
      <c r="Y279" s="276">
        <f>IF(W279&lt;&gt;"",W279*X279,"")</f>
        <v/>
      </c>
      <c r="Z279" s="276">
        <f>IF(AND(W279&lt;&gt;"",U279="yes"),W279*X279,"")</f>
        <v/>
      </c>
    </row>
    <row r="280" ht="43.2" customFormat="1" customHeight="1" s="78">
      <c r="A280" s="78" t="inlineStr">
        <is>
          <t>integer</t>
        </is>
      </c>
      <c r="B280" s="78" t="inlineStr">
        <is>
          <t>fcs_condiments_days</t>
        </is>
      </c>
      <c r="C280" s="78" t="inlineStr">
        <is>
          <t>How many days over *the last 7 days*, did members of your household eat **spices or condiments** such as tea, coffee, cocoa, salt, garlic, spices, yeast, meat fish as a condiment or small amounts of milk for tea or coffee?</t>
        </is>
      </c>
      <c r="D280" s="79" t="n"/>
      <c r="E280" s="79" t="n"/>
      <c r="F280" s="77" t="inlineStr">
        <is>
          <t>[INSTRUCTIONS: RECORD NUMBER OF DAYS 0 - 7. IF CONSUMED ONLY IN SMALL QUANTITY, DO NOT INCLUDE.]</t>
        </is>
      </c>
      <c r="G280" s="79" t="n"/>
      <c r="H280" s="79" t="n"/>
      <c r="I280" s="118" t="inlineStr">
        <is>
          <t>true</t>
        </is>
      </c>
      <c r="J280" s="133" t="n"/>
      <c r="K280" s="133" t="inlineStr">
        <is>
          <t>.&gt;= 0 and .&lt;=7</t>
        </is>
      </c>
      <c r="L280" s="118" t="inlineStr">
        <is>
          <t>The answer must be between 0 and 7 days</t>
        </is>
      </c>
      <c r="M280" s="133" t="n"/>
      <c r="N280" s="133" t="n"/>
      <c r="O280" s="133" t="n"/>
      <c r="P280" s="133" t="n"/>
      <c r="U280" s="78" t="inlineStr">
        <is>
          <t>no</t>
        </is>
      </c>
      <c r="W280" s="275" t="n">
        <v>17</v>
      </c>
      <c r="X280" s="109" t="n">
        <v>1</v>
      </c>
      <c r="Y280" s="276">
        <f>IF(W280&lt;&gt;"",W280*X280,"")</f>
        <v/>
      </c>
      <c r="Z280" s="276">
        <f>IF(AND(W280&lt;&gt;"",U280="yes"),W280*X280,"")</f>
        <v/>
      </c>
    </row>
    <row r="281" customFormat="1" s="77">
      <c r="A281" s="77" t="inlineStr">
        <is>
          <t>end_group</t>
        </is>
      </c>
      <c r="C281" s="78" t="n"/>
      <c r="D281" s="79" t="n"/>
      <c r="E281" s="79" t="n"/>
      <c r="G281" s="83" t="n"/>
      <c r="H281" s="83" t="n"/>
      <c r="I281" s="118" t="n"/>
      <c r="J281" s="118" t="n"/>
      <c r="K281" s="118" t="n"/>
      <c r="L281" s="118" t="n"/>
      <c r="M281" s="118" t="n"/>
      <c r="N281" s="118" t="n"/>
      <c r="O281" s="118" t="n"/>
      <c r="P281" s="118" t="n"/>
      <c r="U281" s="77" t="inlineStr"/>
      <c r="W281" s="275" t="n">
        <v>17</v>
      </c>
      <c r="X281" s="109" t="n">
        <v>1</v>
      </c>
      <c r="Y281" s="276">
        <f>IF(W281&lt;&gt;"",W281*X281,"")</f>
        <v/>
      </c>
      <c r="Z281" s="276">
        <f>IF(AND(W281&lt;&gt;"",U281="yes"),W281*X281,"")</f>
        <v/>
      </c>
      <c r="AA281" s="76" t="n"/>
    </row>
    <row r="282" customFormat="1" s="77">
      <c r="C282" s="78" t="n"/>
      <c r="D282" s="79" t="n"/>
      <c r="E282" s="79" t="n"/>
      <c r="G282" s="83" t="n"/>
      <c r="H282" s="83" t="n"/>
      <c r="I282" s="118" t="n"/>
      <c r="J282" s="118" t="n"/>
      <c r="K282" s="118" t="n"/>
      <c r="L282" s="118" t="n"/>
      <c r="M282" s="118" t="n"/>
      <c r="N282" s="118" t="n"/>
      <c r="O282" s="118" t="n"/>
      <c r="P282" s="118" t="n"/>
      <c r="U282" s="77" t="inlineStr"/>
      <c r="W282" s="275" t="n">
        <v>17</v>
      </c>
      <c r="X282" s="109" t="n">
        <v>1</v>
      </c>
      <c r="Y282" s="276">
        <f>IF(W282&lt;&gt;"",W282*X282,"")</f>
        <v/>
      </c>
      <c r="Z282" s="276">
        <f>IF(AND(W282&lt;&gt;"",U282="yes"),W282*X282,"")</f>
        <v/>
      </c>
      <c r="AA282" s="76" t="n"/>
    </row>
    <row r="283" customFormat="1" s="77">
      <c r="A283" s="77" t="inlineStr">
        <is>
          <t>begin_group</t>
        </is>
      </c>
      <c r="B283" s="77" t="inlineStr">
        <is>
          <t>grp_rcsi</t>
        </is>
      </c>
      <c r="C283" s="78" t="inlineStr">
        <is>
          <t>rCSI</t>
        </is>
      </c>
      <c r="D283" s="79" t="n"/>
      <c r="E283" s="79" t="n"/>
      <c r="G283" s="83" t="n"/>
      <c r="H283" s="83" t="n"/>
      <c r="I283" s="118" t="n"/>
      <c r="J283" s="118" t="n"/>
      <c r="K283" s="118" t="n"/>
      <c r="L283" s="118" t="n"/>
      <c r="M283" s="118" t="n"/>
      <c r="N283" s="118" t="n"/>
      <c r="O283" s="118" t="n"/>
      <c r="P283" s="118" t="n"/>
      <c r="U283" s="77" t="inlineStr">
        <is>
          <t>no</t>
        </is>
      </c>
      <c r="W283" s="275" t="n"/>
      <c r="X283" s="109" t="n">
        <v>1</v>
      </c>
      <c r="Y283" s="276">
        <f>IF(W283&lt;&gt;"",W283*X283,"")</f>
        <v/>
      </c>
      <c r="Z283" s="276">
        <f>IF(AND(W283&lt;&gt;"",U283="yes"),W283*X283,"")</f>
        <v/>
      </c>
    </row>
    <row r="284" ht="43.2" customFormat="1" customHeight="1" s="77">
      <c r="A284" s="77" t="inlineStr">
        <is>
          <t>note</t>
        </is>
      </c>
      <c r="B284" s="77" t="inlineStr">
        <is>
          <t>rcsi_intro</t>
        </is>
      </c>
      <c r="C284" s="78" t="inlineStr">
        <is>
          <t>Now I will ask you about the number of days, in *the last 7 days*, during which the household has done some of the actions that I will mention to cope with the lack of food or money to buy food.</t>
        </is>
      </c>
      <c r="D284" s="79" t="n"/>
      <c r="E284" s="79" t="n"/>
      <c r="G284" s="83" t="n"/>
      <c r="H284" s="83" t="n"/>
      <c r="I284" s="118" t="inlineStr">
        <is>
          <t>false</t>
        </is>
      </c>
      <c r="J284" s="118" t="n"/>
      <c r="K284" s="118" t="n"/>
      <c r="L284" s="118" t="n"/>
      <c r="M284" s="118" t="n"/>
      <c r="N284" s="118" t="n"/>
      <c r="O284" s="118" t="n"/>
      <c r="P284" s="118" t="n"/>
      <c r="U284" s="77" t="inlineStr">
        <is>
          <t>no</t>
        </is>
      </c>
      <c r="W284" s="275" t="n">
        <v>17</v>
      </c>
      <c r="X284" s="109" t="n">
        <v>1</v>
      </c>
      <c r="Y284" s="276">
        <f>IF(W284&lt;&gt;"",W284*X284,"")</f>
        <v/>
      </c>
      <c r="Z284" s="276">
        <f>IF(AND(W284&lt;&gt;"",U284="yes"),W284*X284,"")</f>
        <v/>
      </c>
    </row>
    <row r="285" ht="28.8" customFormat="1" customHeight="1" s="77">
      <c r="A285" s="77" t="inlineStr">
        <is>
          <t>integer</t>
        </is>
      </c>
      <c r="B285" s="77" t="inlineStr">
        <is>
          <t>rcsi_less_preferred_foods</t>
        </is>
      </c>
      <c r="C285" s="78" t="inlineStr">
        <is>
          <t xml:space="preserve">In *the past 7 days*, how many days did your household **rely on less preferred or less expensive food** due to lack of food/money?  </t>
        </is>
      </c>
      <c r="D285" s="79" t="n"/>
      <c r="E285" s="79" t="n"/>
      <c r="F285" s="77" t="inlineStr">
        <is>
          <t>[INSTRUCTIONS: RECORD NUMBER OF DAYS 0 - 7]</t>
        </is>
      </c>
      <c r="G285" s="83" t="n"/>
      <c r="H285" s="83" t="n"/>
      <c r="I285" s="118" t="inlineStr">
        <is>
          <t>true</t>
        </is>
      </c>
      <c r="J285" s="118" t="n"/>
      <c r="K285" s="118" t="inlineStr">
        <is>
          <t>.&gt;= 0 and .&lt;=7</t>
        </is>
      </c>
      <c r="L285" s="118" t="inlineStr">
        <is>
          <t>The answer must be between 0 and 7 days</t>
        </is>
      </c>
      <c r="M285" s="118" t="n"/>
      <c r="N285" s="118" t="n"/>
      <c r="O285" s="118" t="n"/>
      <c r="P285" s="118" t="n"/>
      <c r="U285" s="77" t="inlineStr">
        <is>
          <t>no</t>
        </is>
      </c>
      <c r="W285" s="275" t="n">
        <v>17</v>
      </c>
      <c r="X285" s="109" t="n">
        <v>1</v>
      </c>
      <c r="Y285" s="276">
        <f>IF(W285&lt;&gt;"",W285*X285,"")</f>
        <v/>
      </c>
      <c r="Z285" s="276">
        <f>IF(AND(W285&lt;&gt;"",U285="yes"),W285*X285,"")</f>
        <v/>
      </c>
    </row>
    <row r="286" ht="28.8" customFormat="1" customHeight="1" s="77">
      <c r="A286" s="77" t="inlineStr">
        <is>
          <t>integer</t>
        </is>
      </c>
      <c r="B286" s="77" t="inlineStr">
        <is>
          <t>rcsi_borrowed_food</t>
        </is>
      </c>
      <c r="C286" s="78" t="inlineStr">
        <is>
          <t xml:space="preserve">In the *past 7 days*, how many days did your household **borrow food, or rely on help from a friend or relative** due to lack of food or money to buy food? </t>
        </is>
      </c>
      <c r="D286" s="79" t="n"/>
      <c r="E286" s="79" t="n"/>
      <c r="F286" s="77" t="inlineStr">
        <is>
          <t>[INSTRUCTIONS: RECORD NUMBER OF DAYS 0 - 7]</t>
        </is>
      </c>
      <c r="G286" s="83" t="n"/>
      <c r="H286" s="83" t="n"/>
      <c r="I286" s="118" t="inlineStr">
        <is>
          <t>true</t>
        </is>
      </c>
      <c r="J286" s="118" t="n"/>
      <c r="K286" s="118" t="inlineStr">
        <is>
          <t>.&gt;= 0 and .&lt;=7</t>
        </is>
      </c>
      <c r="L286" s="118" t="inlineStr">
        <is>
          <t>The answer must be between 0 and 7 days</t>
        </is>
      </c>
      <c r="M286" s="118" t="n"/>
      <c r="N286" s="118" t="n"/>
      <c r="O286" s="118" t="n"/>
      <c r="P286" s="118" t="n"/>
      <c r="U286" s="77" t="inlineStr">
        <is>
          <t>no</t>
        </is>
      </c>
      <c r="W286" s="275" t="n">
        <v>17</v>
      </c>
      <c r="X286" s="109" t="n">
        <v>1</v>
      </c>
      <c r="Y286" s="276">
        <f>IF(W286&lt;&gt;"",W286*X286,"")</f>
        <v/>
      </c>
      <c r="Z286" s="276">
        <f>IF(AND(W286&lt;&gt;"",U286="yes"),W286*X286,"")</f>
        <v/>
      </c>
    </row>
    <row r="287" ht="28.8" customFormat="1" customHeight="1" s="77">
      <c r="A287" s="77" t="inlineStr">
        <is>
          <t>integer</t>
        </is>
      </c>
      <c r="B287" s="77" t="inlineStr">
        <is>
          <t>rcsi_reduce_number_meals</t>
        </is>
      </c>
      <c r="C287" s="78" t="inlineStr">
        <is>
          <t>In the past 7 days, how many days did your household **reduce the number of meals eaten in a day** due to lack of food or money to buy food?</t>
        </is>
      </c>
      <c r="D287" s="79" t="n"/>
      <c r="E287" s="79" t="n"/>
      <c r="F287" s="77" t="inlineStr">
        <is>
          <t>[INSTRUCTIONS: RECORD NUMBER OF DAYS 0 - 7]</t>
        </is>
      </c>
      <c r="G287" s="83" t="n"/>
      <c r="H287" s="83" t="n"/>
      <c r="I287" s="118" t="inlineStr">
        <is>
          <t>true</t>
        </is>
      </c>
      <c r="J287" s="118" t="n"/>
      <c r="K287" s="118" t="inlineStr">
        <is>
          <t>.&gt;= 0 and .&lt;=7</t>
        </is>
      </c>
      <c r="L287" s="118" t="inlineStr">
        <is>
          <t>The answer must be between 0 and 7 days</t>
        </is>
      </c>
      <c r="M287" s="118" t="n"/>
      <c r="N287" s="118" t="n"/>
      <c r="O287" s="118" t="n"/>
      <c r="P287" s="118" t="n"/>
      <c r="U287" s="77" t="inlineStr">
        <is>
          <t>no</t>
        </is>
      </c>
      <c r="W287" s="275" t="n">
        <v>17</v>
      </c>
      <c r="X287" s="109" t="n">
        <v>1</v>
      </c>
      <c r="Y287" s="276">
        <f>IF(W287&lt;&gt;"",W287*X287,"")</f>
        <v/>
      </c>
      <c r="Z287" s="276">
        <f>IF(AND(W287&lt;&gt;"",U287="yes"),W287*X287,"")</f>
        <v/>
      </c>
    </row>
    <row r="288" ht="28.8" customFormat="1" customHeight="1" s="77">
      <c r="A288" s="77" t="inlineStr">
        <is>
          <t>integer</t>
        </is>
      </c>
      <c r="B288" s="77" t="inlineStr">
        <is>
          <t>rcsi_limit_portions</t>
        </is>
      </c>
      <c r="C288" s="78" t="inlineStr">
        <is>
          <t xml:space="preserve">In the *past 7 days*, how many days did your household **limit portion sizes at mealtime** due to lack of food or money to buy food? </t>
        </is>
      </c>
      <c r="D288" s="79" t="n"/>
      <c r="E288" s="79" t="n"/>
      <c r="F288" s="77" t="inlineStr">
        <is>
          <t>[INSTRUCTIONS: RECORD NUMBER OF DAYS 0 - 7]</t>
        </is>
      </c>
      <c r="G288" s="83" t="n"/>
      <c r="H288" s="83" t="n"/>
      <c r="I288" s="118" t="inlineStr">
        <is>
          <t>true</t>
        </is>
      </c>
      <c r="J288" s="118" t="n"/>
      <c r="K288" s="118" t="inlineStr">
        <is>
          <t>.&gt;= 0 and .&lt;=7</t>
        </is>
      </c>
      <c r="L288" s="118" t="inlineStr">
        <is>
          <t>The answer must be between 0 and 7 days</t>
        </is>
      </c>
      <c r="M288" s="118" t="n"/>
      <c r="N288" s="118" t="n"/>
      <c r="O288" s="118" t="n"/>
      <c r="P288" s="118" t="n"/>
      <c r="U288" s="77" t="inlineStr">
        <is>
          <t>no</t>
        </is>
      </c>
      <c r="W288" s="275" t="n">
        <v>17</v>
      </c>
      <c r="X288" s="109" t="n">
        <v>1</v>
      </c>
      <c r="Y288" s="276">
        <f>IF(W288&lt;&gt;"",W288*X288,"")</f>
        <v/>
      </c>
      <c r="Z288" s="276">
        <f>IF(AND(W288&lt;&gt;"",U288="yes"),W288*X288,"")</f>
        <v/>
      </c>
    </row>
    <row r="289" ht="28.8" customFormat="1" customHeight="1" s="77">
      <c r="A289" s="77" t="inlineStr">
        <is>
          <t>integer</t>
        </is>
      </c>
      <c r="B289" s="77" t="inlineStr">
        <is>
          <t>rcsi_restrict_adult_consumpt</t>
        </is>
      </c>
      <c r="C289" s="78" t="inlineStr">
        <is>
          <t>In the *past 7 days*, how many days did your household **restrict consumption by adults so children could eat**, due to lack of food or money to buy food?</t>
        </is>
      </c>
      <c r="D289" s="79" t="n"/>
      <c r="E289" s="79" t="n"/>
      <c r="F289" s="77" t="inlineStr">
        <is>
          <t>[INSTRUCTIONS: RECORD NUMBER OF DAYS 0 - 7]</t>
        </is>
      </c>
      <c r="G289" s="83" t="n"/>
      <c r="H289" s="83" t="n"/>
      <c r="I289" s="118" t="inlineStr">
        <is>
          <t>true</t>
        </is>
      </c>
      <c r="J289" s="118" t="n"/>
      <c r="K289" s="118" t="inlineStr">
        <is>
          <t>.&gt;= 0 and .&lt;=7</t>
        </is>
      </c>
      <c r="L289" s="118" t="inlineStr">
        <is>
          <t>The answer must be between 0 and 7 days</t>
        </is>
      </c>
      <c r="M289" s="118" t="n"/>
      <c r="N289" s="118" t="n"/>
      <c r="O289" s="118" t="n"/>
      <c r="P289" s="118" t="n"/>
      <c r="U289" s="77" t="inlineStr">
        <is>
          <t>no</t>
        </is>
      </c>
      <c r="W289" s="275" t="n">
        <v>17</v>
      </c>
      <c r="X289" s="109" t="n">
        <v>1</v>
      </c>
      <c r="Y289" s="276">
        <f>IF(W289&lt;&gt;"",W289*X289,"")</f>
        <v/>
      </c>
      <c r="Z289" s="276">
        <f>IF(AND(W289&lt;&gt;"",U289="yes"),W289*X289,"")</f>
        <v/>
      </c>
    </row>
    <row r="290" customFormat="1" s="77">
      <c r="A290" s="77" t="inlineStr">
        <is>
          <t>end_group</t>
        </is>
      </c>
      <c r="C290" s="78" t="n"/>
      <c r="D290" s="79" t="n"/>
      <c r="E290" s="79" t="n"/>
      <c r="G290" s="83" t="n"/>
      <c r="H290" s="83" t="n"/>
      <c r="I290" s="118" t="n"/>
      <c r="J290" s="118" t="n"/>
      <c r="K290" s="118" t="n"/>
      <c r="L290" s="118" t="n"/>
      <c r="M290" s="118" t="n"/>
      <c r="N290" s="118" t="n"/>
      <c r="O290" s="118" t="n"/>
      <c r="P290" s="118" t="n"/>
      <c r="U290" s="77" t="inlineStr"/>
      <c r="W290" s="275" t="inlineStr"/>
      <c r="X290" s="109" t="n">
        <v>1</v>
      </c>
      <c r="Y290" s="276">
        <f>IF(W290&lt;&gt;"",W290*X290,"")</f>
        <v/>
      </c>
      <c r="Z290" s="276">
        <f>IF(AND(W290&lt;&gt;"",U290="yes"),W290*X290,"")</f>
        <v/>
      </c>
    </row>
    <row r="291" customFormat="1" s="77">
      <c r="C291" s="78" t="n"/>
      <c r="D291" s="79" t="n"/>
      <c r="E291" s="79" t="n"/>
      <c r="G291" s="83" t="n"/>
      <c r="H291" s="83" t="n"/>
      <c r="I291" s="118" t="n"/>
      <c r="J291" s="118" t="n"/>
      <c r="K291" s="118" t="n"/>
      <c r="L291" s="118" t="n"/>
      <c r="M291" s="118" t="n"/>
      <c r="N291" s="118" t="n"/>
      <c r="O291" s="118" t="n"/>
      <c r="P291" s="118" t="n"/>
      <c r="U291" s="77" t="inlineStr"/>
      <c r="W291" s="275" t="inlineStr"/>
      <c r="X291" s="109" t="n">
        <v>1</v>
      </c>
      <c r="Y291" s="276">
        <f>IF(W291&lt;&gt;"",W291*X291,"")</f>
        <v/>
      </c>
      <c r="Z291" s="276">
        <f>IF(AND(W291&lt;&gt;"",U291="yes"),W291*X291,"")</f>
        <v/>
      </c>
    </row>
    <row r="292" ht="15" customHeight="1" thickBot="1">
      <c r="A292" s="102" t="inlineStr">
        <is>
          <t>end_group</t>
        </is>
      </c>
      <c r="B292" s="102" t="n"/>
      <c r="C292" s="103" t="n"/>
      <c r="D292" s="110" t="n"/>
      <c r="E292" s="110" t="n"/>
      <c r="F292" s="102" t="n"/>
      <c r="G292" s="111" t="n"/>
      <c r="H292" s="111" t="n"/>
      <c r="I292" s="130" t="n"/>
      <c r="J292" s="130" t="n"/>
      <c r="K292" s="130" t="n"/>
      <c r="L292" s="130" t="n"/>
      <c r="M292" s="130" t="n"/>
      <c r="N292" s="130" t="n"/>
      <c r="O292" s="130" t="n"/>
      <c r="P292" s="130" t="n"/>
      <c r="W292" s="275" t="n"/>
      <c r="Y292" s="276">
        <f>IF(W292&lt;&gt;"",W292*X292,"")</f>
        <v/>
      </c>
      <c r="Z292" s="276">
        <f>IF(AND(W292&lt;&gt;"",U292="yes"),W292*X292,"")</f>
        <v/>
      </c>
    </row>
    <row r="293" ht="15" customFormat="1" customHeight="1" s="73" thickTop="1">
      <c r="A293" s="70" t="inlineStr">
        <is>
          <t>begin_group</t>
        </is>
      </c>
      <c r="B293" s="70" t="inlineStr">
        <is>
          <t>Assisstance_group</t>
        </is>
      </c>
      <c r="C293" s="94" t="inlineStr">
        <is>
          <t>NEEDS ASSISTANCE</t>
        </is>
      </c>
      <c r="D293" s="71" t="n"/>
      <c r="E293" s="71" t="n"/>
      <c r="F293" s="70" t="n"/>
      <c r="G293" s="72" t="n"/>
      <c r="H293" s="72" t="n"/>
      <c r="I293" s="122" t="inlineStr">
        <is>
          <t>false</t>
        </is>
      </c>
      <c r="J293" s="122" t="n"/>
      <c r="K293" s="122" t="n"/>
      <c r="L293" s="122" t="n"/>
      <c r="M293" s="122"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293" s="122" t="n"/>
      <c r="O293" s="122" t="n"/>
      <c r="P293" s="122" t="n"/>
      <c r="U293" s="45" t="inlineStr">
        <is>
          <t>yes</t>
        </is>
      </c>
      <c r="W293" s="275" t="n"/>
      <c r="X293" s="74" t="n"/>
      <c r="Y293" s="276">
        <f>IF(W293&lt;&gt;"",W293*X293,"")</f>
        <v/>
      </c>
      <c r="Z293" s="276">
        <f>IF(AND(W293&lt;&gt;"",U293="yes"),W293*X293,"")</f>
        <v/>
      </c>
      <c r="AA293" s="74" t="n"/>
    </row>
    <row r="294" ht="15" customFormat="1" customHeight="1" s="73">
      <c r="C294" s="95" t="n"/>
      <c r="D294" s="71" t="n"/>
      <c r="E294" s="71" t="n"/>
      <c r="G294" s="72" t="n"/>
      <c r="H294" s="72" t="n"/>
      <c r="I294" s="123" t="n"/>
      <c r="J294" s="123" t="n"/>
      <c r="K294" s="123" t="n"/>
      <c r="L294" s="123" t="n"/>
      <c r="M294" s="123" t="n"/>
      <c r="N294" s="123" t="n"/>
      <c r="O294" s="123" t="n"/>
      <c r="P294" s="123" t="n"/>
      <c r="U294" s="45" t="inlineStr"/>
      <c r="W294" s="275" t="inlineStr"/>
      <c r="X294" s="109" t="n">
        <v>1</v>
      </c>
      <c r="Y294" s="276">
        <f>IF(W294&lt;&gt;"",W294*X294,"")</f>
        <v/>
      </c>
      <c r="Z294" s="276">
        <f>IF(AND(W294&lt;&gt;"",U294="yes"),W294*X294,"")</f>
        <v/>
      </c>
      <c r="AA294" s="74" t="n"/>
    </row>
    <row r="295" ht="28.8" customHeight="1">
      <c r="A295" s="75" t="inlineStr">
        <is>
          <t>select_one yes_no</t>
        </is>
      </c>
      <c r="B295" s="75" t="inlineStr">
        <is>
          <t>need</t>
        </is>
      </c>
      <c r="C295" s="44" t="inlineStr">
        <is>
          <t>Does your household need assistance for agricultural activities [including crop, livestock or fisheries/aquaculture activities] over the next 3 to 6 months?</t>
        </is>
      </c>
      <c r="D295" s="88" t="n"/>
      <c r="E295" s="88" t="n"/>
      <c r="F295" s="75" t="n"/>
      <c r="G295" s="89" t="n"/>
      <c r="H295" s="89" t="n"/>
      <c r="I295" s="117" t="inlineStr">
        <is>
          <t>true</t>
        </is>
      </c>
      <c r="J295" s="117" t="n"/>
      <c r="K295" s="117" t="n"/>
      <c r="L295" s="117" t="n"/>
      <c r="M295" s="117" t="n"/>
      <c r="N295" s="117" t="n"/>
      <c r="O295" s="117" t="n"/>
      <c r="P295" s="117" t="n"/>
      <c r="U295" s="45" t="inlineStr">
        <is>
          <t>yes</t>
        </is>
      </c>
      <c r="W295" s="275" t="n">
        <v>19.82824516296387</v>
      </c>
      <c r="X295" s="109" t="n">
        <v>1</v>
      </c>
      <c r="Y295" s="276">
        <f>IF(W295&lt;&gt;"",W295*X295,"")</f>
        <v/>
      </c>
      <c r="Z295" s="276">
        <f>IF(AND(W295&lt;&gt;"",U295="yes"),W295*X295,"")</f>
        <v/>
      </c>
    </row>
    <row r="296" ht="43.2" customHeight="1">
      <c r="A296" s="75" t="inlineStr">
        <is>
          <t>select_multiple needs</t>
        </is>
      </c>
      <c r="B296" s="75" t="inlineStr">
        <is>
          <t>need_</t>
        </is>
      </c>
      <c r="C296" s="44" t="inlineStr">
        <is>
          <t>What are your household's greatest needs for assistance for your household's agricultural activities [including crop, livestock or fisheries/aquaculture production activities] over the next 3 to 6 months?</t>
        </is>
      </c>
      <c r="D296" s="88" t="n"/>
      <c r="E296" s="88" t="n"/>
      <c r="F296" s="75" t="inlineStr">
        <is>
          <t>[INSTRUCTIONS: MULTIPLE RESPONSE. DO NOT READ THE OPTIONS.]</t>
        </is>
      </c>
      <c r="G296" s="89" t="n"/>
      <c r="H296" s="89" t="n"/>
      <c r="I296" s="117" t="inlineStr">
        <is>
          <t>true</t>
        </is>
      </c>
      <c r="J296" s="117" t="n"/>
      <c r="K296" s="119" t="inlineStr">
        <is>
          <t>if(selected(., 'dk') or selected(., 'ref'), count-selected(.) = 1, count-selected(.) &gt;= 1)</t>
        </is>
      </c>
      <c r="L296" s="117" t="n"/>
      <c r="M296" s="117" t="inlineStr">
        <is>
          <t>${need} = 1</t>
        </is>
      </c>
      <c r="N296" s="117" t="n"/>
      <c r="O296" s="117" t="n"/>
      <c r="P296" s="117" t="n"/>
      <c r="U296" s="45" t="inlineStr">
        <is>
          <t>yes</t>
        </is>
      </c>
      <c r="W296" s="275" t="n">
        <v>49.52969360351562</v>
      </c>
      <c r="X296" s="109" t="n">
        <v>1</v>
      </c>
      <c r="Y296" s="276">
        <f>IF(W296&lt;&gt;"",W296*X296,"")</f>
        <v/>
      </c>
      <c r="Z296" s="276">
        <f>IF(AND(W296&lt;&gt;"",U296="yes"),W296*X296,"")</f>
        <v/>
      </c>
    </row>
    <row r="297">
      <c r="A297" s="75" t="inlineStr">
        <is>
          <t>text</t>
        </is>
      </c>
      <c r="B297" s="75" t="inlineStr">
        <is>
          <t>need_otherspecify</t>
        </is>
      </c>
      <c r="C297" s="81" t="inlineStr">
        <is>
          <t>If other, specify.</t>
        </is>
      </c>
      <c r="D297" s="99" t="n"/>
      <c r="E297" s="99" t="n"/>
      <c r="F297" s="76" t="inlineStr">
        <is>
          <t>[INSTRUCTIONS: RECORD THE OPEN RESPONSE GIVEN IN FEW WORDS. ENTER 888 FOR DON'T KNOW AND 999 FOR REFUSED]</t>
        </is>
      </c>
      <c r="G297" s="89" t="n"/>
      <c r="H297" s="89" t="n"/>
      <c r="I297" s="117" t="inlineStr">
        <is>
          <t>true</t>
        </is>
      </c>
      <c r="J297" s="117" t="n"/>
      <c r="K297" s="117" t="n"/>
      <c r="L297" s="117" t="n"/>
      <c r="M297" s="117" t="inlineStr">
        <is>
          <t>selected(${need_}, 'other')</t>
        </is>
      </c>
      <c r="N297" s="117" t="n"/>
      <c r="O297" s="117" t="n"/>
      <c r="P297" s="117" t="n"/>
      <c r="U297" s="45" t="inlineStr">
        <is>
          <t>yes</t>
        </is>
      </c>
      <c r="W297" s="275" t="n"/>
      <c r="X297" s="109" t="n">
        <v>1</v>
      </c>
      <c r="Y297" s="276">
        <f>IF(W297&lt;&gt;"",W297*X297,"")</f>
        <v/>
      </c>
      <c r="Z297" s="276">
        <f>IF(AND(W297&lt;&gt;"",U297="yes"),W297*X297,"")</f>
        <v/>
      </c>
    </row>
    <row r="298">
      <c r="D298" s="88" t="n"/>
      <c r="E298" s="88" t="n"/>
      <c r="G298" s="89" t="n"/>
      <c r="H298" s="89" t="n"/>
      <c r="U298" s="45" t="inlineStr"/>
      <c r="W298" s="275" t="inlineStr"/>
      <c r="X298" s="109" t="n">
        <v>1</v>
      </c>
      <c r="Y298" s="276">
        <f>IF(W298&lt;&gt;"",W298*X298,"")</f>
        <v/>
      </c>
      <c r="Z298" s="276">
        <f>IF(AND(W298&lt;&gt;"",U298="yes"),W298*X298,"")</f>
        <v/>
      </c>
    </row>
    <row r="299" customFormat="1" s="76">
      <c r="A299" s="80" t="inlineStr">
        <is>
          <t>select_multiple needreceived</t>
        </is>
      </c>
      <c r="B299" s="80" t="inlineStr">
        <is>
          <t>need_received</t>
        </is>
      </c>
      <c r="C299" s="81" t="inlineStr">
        <is>
          <t>Has your household received any assistance in the last 3 months, and if so, which kind?</t>
        </is>
      </c>
      <c r="D299" s="99" t="n"/>
      <c r="E299" s="99" t="n"/>
      <c r="F299" s="80" t="inlineStr">
        <is>
          <t>[INSTRUCTIONS: READ OUT ANSWER OPTIONS. MULTIPLE RESPONSES POSSIBLE.]</t>
        </is>
      </c>
      <c r="G299" s="101" t="n"/>
      <c r="H299" s="101" t="n"/>
      <c r="I299" s="119" t="inlineStr">
        <is>
          <t>true</t>
        </is>
      </c>
      <c r="J299" s="119" t="n"/>
      <c r="K299" s="119" t="inlineStr">
        <is>
          <t>if(selected(., 'dk') or selected(., 'ref') or selected(., 'none'), count-selected(.) = 1, count-selected(.) &gt;= 1)</t>
        </is>
      </c>
      <c r="L299" s="119" t="n"/>
      <c r="M299" s="119" t="n"/>
      <c r="N299" s="119" t="n"/>
      <c r="O299" s="119" t="n"/>
      <c r="P299" s="119" t="n"/>
      <c r="U299" s="76" t="inlineStr">
        <is>
          <t>no</t>
        </is>
      </c>
      <c r="W299" s="275" t="n">
        <v>22.02975082397461</v>
      </c>
      <c r="X299" s="109" t="n">
        <v>1</v>
      </c>
      <c r="Y299" s="276">
        <f>IF(W299&lt;&gt;"",W299*X299,"")</f>
        <v/>
      </c>
      <c r="Z299" s="276">
        <f>IF(AND(W299&lt;&gt;"",U299="yes"),W299*X299,"")</f>
        <v/>
      </c>
    </row>
    <row r="300" customFormat="1" s="76">
      <c r="A300" s="80" t="inlineStr">
        <is>
          <t>text</t>
        </is>
      </c>
      <c r="B300" s="80" t="inlineStr">
        <is>
          <t>need_received_otherspecify</t>
        </is>
      </c>
      <c r="C300" s="81" t="inlineStr">
        <is>
          <t>If other, specify.</t>
        </is>
      </c>
      <c r="D300" s="99" t="n"/>
      <c r="E300" s="99" t="n"/>
      <c r="F300" s="80" t="inlineStr">
        <is>
          <t>[INSTRUCTIONS: RECORD THE OPEN RESPONSE GIVEN IN FEW WORDS. ENTER 888 FOR DON'T KNOW AND 999 FOR REFUSED]</t>
        </is>
      </c>
      <c r="G300" s="101" t="n"/>
      <c r="H300" s="101" t="n"/>
      <c r="I300" s="119" t="inlineStr">
        <is>
          <t>true</t>
        </is>
      </c>
      <c r="J300" s="119" t="n"/>
      <c r="K300" s="119" t="n"/>
      <c r="L300" s="119" t="n"/>
      <c r="M300" s="119" t="inlineStr">
        <is>
          <t>selected(${need_received}, 'other')</t>
        </is>
      </c>
      <c r="N300" s="119" t="n"/>
      <c r="O300" s="119" t="n"/>
      <c r="P300" s="119" t="n"/>
      <c r="U300" s="76" t="inlineStr">
        <is>
          <t>no</t>
        </is>
      </c>
      <c r="W300" s="275" t="n"/>
      <c r="X300" s="109" t="n">
        <v>1</v>
      </c>
      <c r="Y300" s="276">
        <f>IF(W300&lt;&gt;"",W300*X300,"")</f>
        <v/>
      </c>
      <c r="Z300" s="276">
        <f>IF(AND(W300&lt;&gt;"",U300="yes"),W300*X300,"")</f>
        <v/>
      </c>
    </row>
    <row r="301" customFormat="1" s="76">
      <c r="A301" s="80" t="inlineStr">
        <is>
          <t>select_one assist_quality</t>
        </is>
      </c>
      <c r="B301" s="80" t="inlineStr">
        <is>
          <t>assistance_quality</t>
        </is>
      </c>
      <c r="C301" s="81" t="inlineStr">
        <is>
          <t xml:space="preserve">Were you satisfied with the quality of the assistance provided? </t>
        </is>
      </c>
      <c r="D301" s="99" t="n"/>
      <c r="E301" s="99" t="n"/>
      <c r="F301" s="80" t="inlineStr">
        <is>
          <t>[INSTRUCTIONS: QUALITY OF ASSISTANCE IN TERMS OF SUFFICIENT ASSISTANCE FOR PRODUCTION OR SALES DIFFICULTY TO BE OVERCOME.]</t>
        </is>
      </c>
      <c r="G301" s="101" t="n"/>
      <c r="H301" s="101" t="n"/>
      <c r="I301" s="119" t="inlineStr">
        <is>
          <t>true</t>
        </is>
      </c>
      <c r="J301" s="119" t="n"/>
      <c r="K301" s="119" t="n"/>
      <c r="L301" s="119" t="n"/>
      <c r="M301" s="119" t="inlineStr">
        <is>
          <t>${need_received} != 'dk' and ${need_received} != 'ref' and ${need_received} != 'none'</t>
        </is>
      </c>
      <c r="N301" s="119" t="n"/>
      <c r="O301" s="119" t="n"/>
      <c r="P301" s="119" t="n"/>
      <c r="U301" s="76" t="inlineStr">
        <is>
          <t>no</t>
        </is>
      </c>
      <c r="W301" s="275" t="n">
        <v>17</v>
      </c>
      <c r="X301" s="109" t="n">
        <v>1</v>
      </c>
      <c r="Y301" s="276">
        <f>IF(W301&lt;&gt;"",W301*X301,"")</f>
        <v/>
      </c>
      <c r="Z301" s="276">
        <f>IF(AND(W301&lt;&gt;"",U301="yes"),W301*X301,"")</f>
        <v/>
      </c>
    </row>
    <row r="302" customFormat="1" s="77">
      <c r="C302" s="78" t="n"/>
      <c r="D302" s="79" t="n"/>
      <c r="E302" s="79" t="n"/>
      <c r="G302" s="83" t="n"/>
      <c r="H302" s="83" t="n"/>
      <c r="I302" s="118" t="n"/>
      <c r="J302" s="118" t="n"/>
      <c r="K302" s="118" t="n"/>
      <c r="L302" s="118" t="n"/>
      <c r="M302" s="118" t="n"/>
      <c r="N302" s="118" t="n"/>
      <c r="O302" s="118" t="n"/>
      <c r="P302" s="118" t="n"/>
      <c r="R302" s="45" t="n"/>
      <c r="U302" s="77" t="inlineStr"/>
      <c r="W302" s="275" t="inlineStr"/>
      <c r="X302" s="109" t="n">
        <v>1</v>
      </c>
      <c r="Y302" s="276">
        <f>IF(W302&lt;&gt;"",W302*X302,"")</f>
        <v/>
      </c>
      <c r="Z302" s="276">
        <f>IF(AND(W302&lt;&gt;"",U302="yes"),W302*X302,"")</f>
        <v/>
      </c>
      <c r="AA302" s="76" t="n"/>
    </row>
    <row r="303" customFormat="1" s="77">
      <c r="A303" s="77" t="inlineStr">
        <is>
          <t>select_multiple provider</t>
        </is>
      </c>
      <c r="B303" s="77" t="inlineStr">
        <is>
          <t>assistance</t>
        </is>
      </c>
      <c r="C303" s="78" t="inlineStr">
        <is>
          <t>Who provided your household with this assistance?</t>
        </is>
      </c>
      <c r="D303" s="79" t="n"/>
      <c r="E303" s="79" t="n"/>
      <c r="F303" s="77" t="inlineStr">
        <is>
          <t>[INSTRUCTIONS: MULTIPLE RESPONSES.]</t>
        </is>
      </c>
      <c r="G303" s="83" t="n"/>
      <c r="H303" s="83" t="n"/>
      <c r="I303" s="118" t="inlineStr">
        <is>
          <t>true</t>
        </is>
      </c>
      <c r="J303" s="118" t="n"/>
      <c r="K303" s="119" t="inlineStr">
        <is>
          <t>if(selected(., 'dk') or selected(., 'ref'), count-selected(.) = 1, count-selected(.) &gt;= 1)</t>
        </is>
      </c>
      <c r="L303" s="118" t="n"/>
      <c r="M303" s="119" t="inlineStr">
        <is>
          <t>${need_received} != 'dk' and ${need_received} != 'ref' and ${need_received} != 'none'</t>
        </is>
      </c>
      <c r="N303" s="118" t="n"/>
      <c r="O303" s="118" t="n"/>
      <c r="P303" s="118" t="n"/>
      <c r="R303" s="45" t="n"/>
      <c r="W303" s="275" t="n"/>
      <c r="X303" s="109" t="n"/>
      <c r="Y303" s="276" t="n"/>
      <c r="Z303" s="276" t="n"/>
      <c r="AA303" s="76" t="n"/>
    </row>
    <row r="304" customFormat="1" s="77">
      <c r="C304" s="78" t="n"/>
      <c r="D304" s="79" t="n"/>
      <c r="E304" s="79" t="n"/>
      <c r="G304" s="83" t="n"/>
      <c r="H304" s="83" t="n"/>
      <c r="I304" s="118" t="n"/>
      <c r="J304" s="118" t="n"/>
      <c r="K304" s="118" t="n"/>
      <c r="L304" s="118" t="n"/>
      <c r="M304" s="118" t="n"/>
      <c r="N304" s="118" t="n"/>
      <c r="O304" s="118" t="n"/>
      <c r="P304" s="118" t="n"/>
      <c r="R304" s="45" t="n"/>
      <c r="W304" s="275" t="n"/>
      <c r="X304" s="109" t="n"/>
      <c r="Y304" s="276" t="n"/>
      <c r="Z304" s="276" t="n"/>
      <c r="AA304" s="76" t="n"/>
    </row>
    <row r="305" ht="15" customHeight="1" thickBot="1">
      <c r="A305" s="102" t="inlineStr">
        <is>
          <t>end_group</t>
        </is>
      </c>
      <c r="B305" s="102" t="n"/>
      <c r="C305" s="103" t="n"/>
      <c r="D305" s="110" t="n"/>
      <c r="E305" s="110" t="n"/>
      <c r="F305" s="102" t="n"/>
      <c r="G305" s="111" t="n"/>
      <c r="H305" s="111" t="n"/>
      <c r="I305" s="130" t="n"/>
      <c r="J305" s="130" t="n"/>
      <c r="K305" s="130" t="n"/>
      <c r="L305" s="130" t="n"/>
      <c r="M305" s="130" t="n"/>
      <c r="N305" s="130" t="n"/>
      <c r="O305" s="130" t="n"/>
      <c r="P305" s="130" t="n"/>
      <c r="U305" s="45" t="inlineStr"/>
      <c r="W305" s="275" t="inlineStr"/>
      <c r="Y305" s="276">
        <f>IF(W305&lt;&gt;"",W305*X305,"")</f>
        <v/>
      </c>
      <c r="Z305" s="276">
        <f>IF(AND(W305&lt;&gt;"",U305="yes"),W305*X305,"")</f>
        <v/>
      </c>
    </row>
    <row r="306" ht="15" customFormat="1" customHeight="1" s="73" thickTop="1">
      <c r="A306" s="70" t="inlineStr">
        <is>
          <t>begin_group</t>
        </is>
      </c>
      <c r="B306" s="70" t="inlineStr">
        <is>
          <t>closing</t>
        </is>
      </c>
      <c r="C306" s="94" t="inlineStr">
        <is>
          <t>CLOSING</t>
        </is>
      </c>
      <c r="D306" s="71" t="n"/>
      <c r="E306" s="71" t="n"/>
      <c r="F306" s="70" t="n"/>
      <c r="G306" s="72" t="n"/>
      <c r="H306" s="72" t="n"/>
      <c r="I306" s="122" t="inlineStr">
        <is>
          <t>false</t>
        </is>
      </c>
      <c r="J306" s="122" t="n"/>
      <c r="K306" s="122" t="n"/>
      <c r="L306" s="122" t="n"/>
      <c r="M306" s="122" t="inlineStr">
        <is>
          <t>${resp_agree} = '1' and ${hh_agricactivity} != '5' and ${hh_agricactivity} != '6'</t>
        </is>
      </c>
      <c r="N306" s="122" t="n"/>
      <c r="O306" s="122" t="n"/>
      <c r="P306" s="122" t="n"/>
      <c r="U306" s="45" t="inlineStr">
        <is>
          <t>yes</t>
        </is>
      </c>
      <c r="W306" s="275" t="n"/>
      <c r="X306" s="170" t="n"/>
      <c r="Y306" s="276">
        <f>IF(W306&lt;&gt;"",W306*X306,"")</f>
        <v/>
      </c>
      <c r="Z306" s="276">
        <f>IF(AND(W306&lt;&gt;"",U306="yes"),W306*X306,"")</f>
        <v/>
      </c>
      <c r="AA306" s="74" t="n"/>
    </row>
    <row r="307" customFormat="1" s="73">
      <c r="C307" s="95" t="n"/>
      <c r="D307" s="71" t="n"/>
      <c r="E307" s="71" t="n"/>
      <c r="G307" s="72" t="n"/>
      <c r="H307" s="72" t="n"/>
      <c r="I307" s="123" t="n"/>
      <c r="J307" s="123" t="n"/>
      <c r="K307" s="123" t="n"/>
      <c r="L307" s="123" t="n"/>
      <c r="M307" s="123" t="n"/>
      <c r="N307" s="123" t="n"/>
      <c r="O307" s="123" t="n"/>
      <c r="P307" s="123" t="n"/>
      <c r="U307" s="45" t="inlineStr"/>
      <c r="W307" s="275" t="inlineStr"/>
      <c r="X307" s="109" t="n">
        <v>1</v>
      </c>
      <c r="Y307" s="276">
        <f>IF(W307&lt;&gt;"",W307*X307,"")</f>
        <v/>
      </c>
      <c r="Z307" s="276">
        <f>IF(AND(W307&lt;&gt;"",U307="yes"),W307*X307,"")</f>
        <v/>
      </c>
      <c r="AA307" s="74" t="n"/>
    </row>
    <row r="308" ht="28.8" customHeight="1">
      <c r="A308" s="75" t="inlineStr">
        <is>
          <t>select_one yesno</t>
        </is>
      </c>
      <c r="B308" s="75" t="inlineStr">
        <is>
          <t>callback</t>
        </is>
      </c>
      <c r="C308" s="44" t="inlineStr">
        <is>
          <t>Your answers will help us to understand and respond to your community needs. May we call you in a few months?</t>
        </is>
      </c>
      <c r="D308" s="88" t="n"/>
      <c r="E308" s="88" t="n"/>
      <c r="F308" s="75" t="n"/>
      <c r="G308" s="89" t="n"/>
      <c r="H308" s="89" t="n"/>
      <c r="I308" s="117" t="inlineStr">
        <is>
          <t>true</t>
        </is>
      </c>
      <c r="J308" s="117" t="n"/>
      <c r="K308" s="117" t="n"/>
      <c r="L308" s="117" t="n"/>
      <c r="M308" s="117" t="n"/>
      <c r="N308" s="117" t="n"/>
      <c r="O308" s="117" t="n"/>
      <c r="P308" s="117" t="n"/>
      <c r="U308" s="45" t="inlineStr">
        <is>
          <t>yes</t>
        </is>
      </c>
      <c r="W308" s="275" t="n">
        <v>36.78304672241211</v>
      </c>
      <c r="X308" s="109" t="n">
        <v>1</v>
      </c>
      <c r="Y308" s="276">
        <f>IF(W308&lt;&gt;"",W308*X308,"")</f>
        <v/>
      </c>
      <c r="Z308" s="276">
        <f>IF(AND(W308&lt;&gt;"",U308="yes"),W308*X308,"")</f>
        <v/>
      </c>
    </row>
    <row r="309">
      <c r="D309" s="88" t="n"/>
      <c r="E309" s="88" t="n"/>
      <c r="G309" s="89" t="n"/>
      <c r="H309" s="89" t="n"/>
      <c r="U309" s="45" t="inlineStr"/>
      <c r="W309" s="275" t="inlineStr"/>
      <c r="X309" s="109" t="n">
        <v>1</v>
      </c>
      <c r="Y309" s="276">
        <f>IF(W309&lt;&gt;"",W309*X309,"")</f>
        <v/>
      </c>
      <c r="Z309" s="276">
        <f>IF(AND(W309&lt;&gt;"",U309="yes"),W309*X309,"")</f>
        <v/>
      </c>
    </row>
    <row r="310" customFormat="1" s="96">
      <c r="A310" s="160" t="inlineStr">
        <is>
          <t>select_one yes_no</t>
        </is>
      </c>
      <c r="B310" s="160" t="inlineStr">
        <is>
          <t>leader_contact</t>
        </is>
      </c>
      <c r="C310" s="183" t="inlineStr">
        <is>
          <t>Can you provide me with the contact information of a leader in your community?</t>
        </is>
      </c>
      <c r="D310" s="161" t="n"/>
      <c r="E310" s="161" t="n"/>
      <c r="F310" s="160" t="n"/>
      <c r="G310" s="162" t="n"/>
      <c r="H310" s="162" t="n"/>
      <c r="I310" s="184" t="inlineStr">
        <is>
          <t>true</t>
        </is>
      </c>
      <c r="J310" s="184" t="n"/>
      <c r="K310" s="125" t="n"/>
      <c r="L310" s="184" t="n"/>
      <c r="M310" s="184" t="inlineStr">
        <is>
          <t>${callback} = '1'</t>
        </is>
      </c>
      <c r="N310" s="125" t="n"/>
      <c r="O310" s="125" t="n"/>
      <c r="P310" s="125" t="n"/>
      <c r="U310" s="160" t="inlineStr">
        <is>
          <t>no - panel</t>
        </is>
      </c>
      <c r="W310" s="275" t="n">
        <v>10</v>
      </c>
      <c r="X310" s="109" t="n">
        <v>1</v>
      </c>
      <c r="Y310" s="276">
        <f>IF(W310&lt;&gt;"",W310*X310,"")</f>
        <v/>
      </c>
      <c r="Z310" s="276">
        <f>IF(AND(W310&lt;&gt;"",U310="yes"),W310*X310,"")</f>
        <v/>
      </c>
    </row>
    <row r="311" customFormat="1" s="96">
      <c r="A311" s="160" t="inlineStr">
        <is>
          <t>select_one leader</t>
        </is>
      </c>
      <c r="B311" s="160" t="inlineStr">
        <is>
          <t>leader_type</t>
        </is>
      </c>
      <c r="C311" s="183" t="inlineStr">
        <is>
          <t>What type of community leader can you provide information for?</t>
        </is>
      </c>
      <c r="D311" s="161" t="n"/>
      <c r="E311" s="161" t="n"/>
      <c r="F311" s="160" t="n"/>
      <c r="G311" s="162" t="n"/>
      <c r="H311" s="162" t="n"/>
      <c r="I311" s="184" t="inlineStr">
        <is>
          <t>true</t>
        </is>
      </c>
      <c r="J311" s="184" t="n"/>
      <c r="K311" s="125" t="n"/>
      <c r="L311" s="184" t="n"/>
      <c r="M311" s="184" t="inlineStr">
        <is>
          <t>${callback} = '1' and ${leader_contact}='1'</t>
        </is>
      </c>
      <c r="N311" s="125" t="n"/>
      <c r="O311" s="125" t="n"/>
      <c r="P311" s="125" t="n"/>
      <c r="U311" s="160" t="inlineStr">
        <is>
          <t>no - panel</t>
        </is>
      </c>
      <c r="W311" s="275" t="n">
        <v>10</v>
      </c>
      <c r="X311" s="109" t="n">
        <v>1</v>
      </c>
      <c r="Y311" s="276">
        <f>IF(W311&lt;&gt;"",W311*X311,"")</f>
        <v/>
      </c>
      <c r="Z311" s="276">
        <f>IF(AND(W311&lt;&gt;"",U311="yes"),W311*X311,"")</f>
        <v/>
      </c>
    </row>
    <row r="312" customFormat="1" s="77">
      <c r="A312" s="160" t="inlineStr">
        <is>
          <t>text</t>
        </is>
      </c>
      <c r="B312" s="160" t="inlineStr">
        <is>
          <t>phone_number_leader</t>
        </is>
      </c>
      <c r="C312" s="183" t="inlineStr">
        <is>
          <t>What is the leader's *phone number*?</t>
        </is>
      </c>
      <c r="D312" s="161" t="n"/>
      <c r="E312" s="161" t="n"/>
      <c r="F312" s="160" t="n"/>
      <c r="G312" s="162" t="n"/>
      <c r="H312" s="162" t="n"/>
      <c r="I312" s="184" t="inlineStr">
        <is>
          <t>true</t>
        </is>
      </c>
      <c r="J312" s="184" t="inlineStr">
        <is>
          <t>numbers</t>
        </is>
      </c>
      <c r="K312" s="118" t="inlineStr">
        <is>
          <t>regex(.,’^[0-9]{10}$’)</t>
        </is>
      </c>
      <c r="L312" s="184" t="inlineStr">
        <is>
          <t>Please enter the telephone number in the correct format, e.g. 0700704549</t>
        </is>
      </c>
      <c r="M312" s="184" t="inlineStr">
        <is>
          <t>${callback} = '1' and ${leader_contact}='1'</t>
        </is>
      </c>
      <c r="N312" s="118" t="n"/>
      <c r="O312" s="118" t="n"/>
      <c r="P312" s="118" t="n"/>
      <c r="U312" s="160" t="inlineStr">
        <is>
          <t>no - panel</t>
        </is>
      </c>
      <c r="W312" s="275" t="n">
        <v>10</v>
      </c>
      <c r="X312" s="109" t="n">
        <v>1</v>
      </c>
      <c r="Y312" s="276">
        <f>IF(W312&lt;&gt;"",W312*X312,"")</f>
        <v/>
      </c>
      <c r="Z312" s="276">
        <f>IF(AND(W312&lt;&gt;"",U312="yes"),W312*X312,"")</f>
        <v/>
      </c>
      <c r="AA312" s="76" t="n"/>
    </row>
    <row r="313" customFormat="1" s="77">
      <c r="A313" s="160" t="inlineStr">
        <is>
          <t>text</t>
        </is>
      </c>
      <c r="B313" s="160" t="inlineStr">
        <is>
          <t>leader_name</t>
        </is>
      </c>
      <c r="C313" s="183" t="inlineStr">
        <is>
          <t>What is the leader's name?</t>
        </is>
      </c>
      <c r="D313" s="161" t="n"/>
      <c r="E313" s="161" t="n"/>
      <c r="F313" s="160" t="n"/>
      <c r="G313" s="162" t="n"/>
      <c r="H313" s="162" t="n"/>
      <c r="I313" s="184" t="inlineStr">
        <is>
          <t>true</t>
        </is>
      </c>
      <c r="J313" s="184" t="n"/>
      <c r="K313" s="118" t="n"/>
      <c r="L313" s="184" t="n"/>
      <c r="M313" s="184" t="inlineStr">
        <is>
          <t>${callback} = '1' and ${leader_contact}='1'</t>
        </is>
      </c>
      <c r="N313" s="118" t="n"/>
      <c r="O313" s="118" t="n"/>
      <c r="P313" s="118" t="n"/>
      <c r="U313" s="160" t="inlineStr">
        <is>
          <t>no - panel</t>
        </is>
      </c>
      <c r="W313" s="275" t="n">
        <v>10</v>
      </c>
      <c r="X313" s="109" t="n">
        <v>1</v>
      </c>
      <c r="Y313" s="276">
        <f>IF(W313&lt;&gt;"",W313*X313,"")</f>
        <v/>
      </c>
      <c r="Z313" s="276">
        <f>IF(AND(W313&lt;&gt;"",U313="yes"),W313*X313,"")</f>
        <v/>
      </c>
      <c r="AA313" s="76" t="n"/>
    </row>
    <row r="314" customFormat="1" s="77">
      <c r="A314" s="158" t="inlineStr">
        <is>
          <t>select_multiple week</t>
        </is>
      </c>
      <c r="B314" s="158" t="inlineStr">
        <is>
          <t>future_int_day</t>
        </is>
      </c>
      <c r="C314" s="178" t="inlineStr">
        <is>
          <t>For future interviews, in which day(s) can I call you?</t>
        </is>
      </c>
      <c r="D314" s="161" t="n"/>
      <c r="E314" s="161" t="n"/>
      <c r="F314" s="158" t="inlineStr">
        <is>
          <t>[INSTRUCTIONS: MULTIPLE ANSWERS POSSIBLE.]</t>
        </is>
      </c>
      <c r="G314" s="162" t="n"/>
      <c r="H314" s="162" t="n"/>
      <c r="I314" s="157" t="inlineStr">
        <is>
          <t>true</t>
        </is>
      </c>
      <c r="J314" s="157" t="n"/>
      <c r="K314" s="134" t="n"/>
      <c r="L314" s="157" t="n"/>
      <c r="M314" s="157" t="inlineStr">
        <is>
          <t>${callback} = '1'</t>
        </is>
      </c>
      <c r="N314" s="127" t="n"/>
      <c r="O314" s="127" t="n"/>
      <c r="P314" s="127" t="n"/>
      <c r="U314" s="160" t="inlineStr">
        <is>
          <t>yes - panel</t>
        </is>
      </c>
      <c r="W314" s="275" t="n">
        <v>10</v>
      </c>
      <c r="X314" s="109" t="n">
        <v>1</v>
      </c>
      <c r="Y314" s="276">
        <f>IF(W314&lt;&gt;"",W314*X314,"")</f>
        <v/>
      </c>
      <c r="Z314" s="276">
        <f>IF(AND(W314&lt;&gt;"",U314="yes"),W314*X314,"")</f>
        <v/>
      </c>
      <c r="AA314" s="76" t="n"/>
    </row>
    <row r="315" customFormat="1" s="77">
      <c r="A315" s="158" t="inlineStr">
        <is>
          <t>select_multiple time</t>
        </is>
      </c>
      <c r="B315" s="158" t="inlineStr">
        <is>
          <t>future_int_time</t>
        </is>
      </c>
      <c r="C315" s="178" t="inlineStr">
        <is>
          <t>For future interviews, at what time(s) can I call you?</t>
        </is>
      </c>
      <c r="D315" s="161" t="n"/>
      <c r="E315" s="161" t="n"/>
      <c r="F315" s="158" t="inlineStr">
        <is>
          <t>[INSTRUCTIONS: MULTIPLE ANSWERS POSSIBLE.]</t>
        </is>
      </c>
      <c r="G315" s="162" t="n"/>
      <c r="H315" s="162" t="n"/>
      <c r="I315" s="157" t="inlineStr">
        <is>
          <t>true</t>
        </is>
      </c>
      <c r="J315" s="157" t="n"/>
      <c r="K315" s="134" t="n"/>
      <c r="L315" s="157" t="n"/>
      <c r="M315" s="157" t="inlineStr">
        <is>
          <t>${callback} = '1'</t>
        </is>
      </c>
      <c r="N315" s="127" t="n"/>
      <c r="O315" s="127" t="n"/>
      <c r="P315" s="127" t="n"/>
      <c r="U315" s="160" t="inlineStr">
        <is>
          <t>yes - panel</t>
        </is>
      </c>
      <c r="W315" s="275" t="n">
        <v>10</v>
      </c>
      <c r="X315" s="109" t="n">
        <v>1</v>
      </c>
      <c r="Y315" s="276">
        <f>IF(W315&lt;&gt;"",W315*X315,"")</f>
        <v/>
      </c>
      <c r="Z315" s="276">
        <f>IF(AND(W315&lt;&gt;"",U315="yes"),W315*X315,"")</f>
        <v/>
      </c>
      <c r="AA315" s="76" t="n"/>
    </row>
    <row r="316" customFormat="1" s="77">
      <c r="C316" s="78" t="n"/>
      <c r="D316" s="79" t="n"/>
      <c r="E316" s="79" t="n"/>
      <c r="G316" s="83" t="n"/>
      <c r="H316" s="83" t="n"/>
      <c r="I316" s="118" t="n"/>
      <c r="J316" s="118" t="n"/>
      <c r="K316" s="118" t="n"/>
      <c r="L316" s="118" t="n"/>
      <c r="M316" s="118" t="n"/>
      <c r="N316" s="118" t="n"/>
      <c r="O316" s="118" t="n"/>
      <c r="P316" s="118" t="n"/>
      <c r="U316" s="77" t="inlineStr"/>
      <c r="W316" s="275" t="inlineStr"/>
      <c r="X316" s="109" t="n">
        <v>1</v>
      </c>
      <c r="Y316" s="276">
        <f>IF(W316&lt;&gt;"",W316*X316,"")</f>
        <v/>
      </c>
      <c r="Z316" s="276">
        <f>IF(AND(W316&lt;&gt;"",U316="yes"),W316*X316,"")</f>
        <v/>
      </c>
      <c r="AA316" s="76" t="n"/>
    </row>
    <row r="317">
      <c r="A317" s="75" t="inlineStr">
        <is>
          <t>select_one language</t>
        </is>
      </c>
      <c r="B317" s="75" t="inlineStr">
        <is>
          <t>language2</t>
        </is>
      </c>
      <c r="C317" s="44" t="inlineStr">
        <is>
          <t xml:space="preserve">Select the language that was mostly used to complete the interview. </t>
        </is>
      </c>
      <c r="D317" s="88" t="n"/>
      <c r="E317" s="88" t="n"/>
      <c r="F317" s="75" t="n"/>
      <c r="G317" s="89" t="n"/>
      <c r="H317" s="89" t="n"/>
      <c r="I317" s="117" t="inlineStr">
        <is>
          <t>true</t>
        </is>
      </c>
      <c r="J317" s="117" t="n"/>
      <c r="K317" s="117" t="n"/>
      <c r="L317" s="117" t="n"/>
      <c r="M317" s="117" t="n"/>
      <c r="N317" s="117" t="n"/>
      <c r="O317" s="117" t="n"/>
      <c r="P317" s="117" t="n"/>
      <c r="U317" s="45" t="inlineStr">
        <is>
          <t>yes</t>
        </is>
      </c>
      <c r="W317" s="275" t="n">
        <v>3</v>
      </c>
      <c r="X317" s="109" t="n">
        <v>1</v>
      </c>
      <c r="Y317" s="276">
        <f>IF(W317&lt;&gt;"",W317*X317,"")</f>
        <v/>
      </c>
      <c r="Z317" s="276">
        <f>IF(AND(W317&lt;&gt;"",U317="yes"),W317*X317,"")</f>
        <v/>
      </c>
    </row>
    <row r="318">
      <c r="D318" s="88" t="n"/>
      <c r="E318" s="88" t="n"/>
      <c r="G318" s="89" t="n"/>
      <c r="H318" s="89" t="n"/>
      <c r="U318" s="45" t="inlineStr"/>
      <c r="W318" s="275" t="inlineStr"/>
      <c r="X318" s="109" t="n">
        <v>1</v>
      </c>
      <c r="Y318" s="276">
        <f>IF(W318&lt;&gt;"",W318*X318,"")</f>
        <v/>
      </c>
      <c r="Z318" s="276">
        <f>IF(AND(W318&lt;&gt;"",U318="yes"),W318*X318,"")</f>
        <v/>
      </c>
    </row>
    <row r="319">
      <c r="A319" s="75" t="inlineStr">
        <is>
          <t>note</t>
        </is>
      </c>
      <c r="B319" s="75" t="inlineStr">
        <is>
          <t>closeout</t>
        </is>
      </c>
      <c r="C319" s="44" t="inlineStr">
        <is>
          <t xml:space="preserve">Thank you for your time. The interview has come to an end. </t>
        </is>
      </c>
      <c r="D319" s="88" t="n"/>
      <c r="E319" s="88" t="n"/>
      <c r="F319" s="75" t="n"/>
      <c r="G319" s="89" t="n"/>
      <c r="H319" s="89" t="n"/>
      <c r="I319" s="117" t="inlineStr">
        <is>
          <t>false</t>
        </is>
      </c>
      <c r="J319" s="117" t="n"/>
      <c r="K319" s="117" t="n"/>
      <c r="L319" s="117" t="n"/>
      <c r="M319" s="117" t="n"/>
      <c r="N319" s="117" t="n"/>
      <c r="O319" s="117" t="n"/>
      <c r="P319" s="117" t="n"/>
      <c r="U319" s="45" t="inlineStr">
        <is>
          <t>no</t>
        </is>
      </c>
      <c r="W319" s="275" t="n">
        <v>0</v>
      </c>
      <c r="X319" s="109" t="n">
        <v>1</v>
      </c>
      <c r="Y319" s="276">
        <f>IF(W319&lt;&gt;"",W319*X319,"")</f>
        <v/>
      </c>
      <c r="Z319" s="276">
        <f>IF(AND(W319&lt;&gt;"",U319="yes"),W319*X319,"")</f>
        <v/>
      </c>
    </row>
    <row r="320">
      <c r="A320" s="246" t="inlineStr">
        <is>
          <t>image</t>
        </is>
      </c>
      <c r="B320" s="246" t="inlineStr">
        <is>
          <t>o_image</t>
        </is>
      </c>
      <c r="C320" s="259" t="inlineStr">
        <is>
          <t>image</t>
        </is>
      </c>
      <c r="D320" s="247" t="n"/>
      <c r="E320" s="247" t="n"/>
      <c r="F320" s="246" t="n"/>
      <c r="G320" s="246" t="n"/>
      <c r="H320" s="246" t="n"/>
      <c r="I320" s="248" t="inlineStr">
        <is>
          <t>true</t>
        </is>
      </c>
      <c r="J320" s="248" t="n"/>
      <c r="K320" s="248" t="n"/>
      <c r="L320" s="248" t="n"/>
      <c r="M320" s="248" t="n"/>
      <c r="N320" s="248" t="n"/>
      <c r="O320" s="248" t="n"/>
      <c r="P320" s="248" t="n"/>
      <c r="Q320" s="246" t="n"/>
      <c r="R320" s="246" t="n"/>
      <c r="S320" s="246" t="n"/>
      <c r="T320" s="246" t="n"/>
      <c r="U320" s="246" t="n"/>
      <c r="V320" s="246" t="n"/>
      <c r="W320" s="279" t="inlineStr"/>
      <c r="X320" s="265" t="n">
        <v>1</v>
      </c>
      <c r="Y320" s="280">
        <f>IF(W320&lt;&gt;"",W320*X320,"")</f>
        <v/>
      </c>
      <c r="Z320" s="276">
        <f>IF(AND(W320&lt;&gt;"",U320="yes"),W320*X320,"")</f>
        <v/>
      </c>
    </row>
    <row r="321" ht="15" customHeight="1" thickBot="1">
      <c r="A321" s="102" t="inlineStr">
        <is>
          <t>end_group</t>
        </is>
      </c>
      <c r="B321" s="102" t="n"/>
      <c r="C321" s="103" t="n"/>
      <c r="D321" s="110" t="n"/>
      <c r="E321" s="110" t="n"/>
      <c r="F321" s="102" t="n"/>
      <c r="G321" s="111" t="n"/>
      <c r="H321" s="111" t="n"/>
      <c r="I321" s="130" t="n"/>
      <c r="J321" s="130" t="n"/>
      <c r="K321" s="130" t="n"/>
      <c r="L321" s="130" t="n"/>
      <c r="M321" s="130" t="n"/>
      <c r="N321" s="130" t="n"/>
      <c r="O321" s="130" t="n"/>
      <c r="P321" s="130" t="n"/>
      <c r="W321" s="275" t="inlineStr"/>
      <c r="Y321" s="276">
        <f>IF(W321&lt;&gt;"",W321*X321,"")</f>
        <v/>
      </c>
      <c r="Z321" s="276">
        <f>IF(AND(W321&lt;&gt;"",U321="yes"),W321*X321,"")</f>
        <v/>
      </c>
    </row>
    <row r="322" ht="15" customFormat="1" customHeight="1" s="77" thickTop="1">
      <c r="C322" s="78" t="n"/>
      <c r="D322" s="78" t="n"/>
      <c r="E322" s="78" t="n"/>
      <c r="I322" s="118" t="n"/>
      <c r="J322" s="118" t="n"/>
      <c r="K322" s="118" t="n"/>
      <c r="L322" s="118" t="n"/>
      <c r="M322" s="118" t="n"/>
      <c r="N322" s="118" t="n"/>
      <c r="O322" s="118" t="n"/>
      <c r="P322" s="118" t="n"/>
      <c r="W322" s="275" t="n"/>
      <c r="X322" s="210" t="n"/>
      <c r="Y322" s="278" t="n"/>
    </row>
    <row r="323">
      <c r="A323" s="75" t="inlineStr">
        <is>
          <t>time</t>
        </is>
      </c>
      <c r="B323" s="75" t="inlineStr">
        <is>
          <t>Interview_End_Time</t>
        </is>
      </c>
      <c r="C323" s="44" t="inlineStr">
        <is>
          <t>Interview End Time</t>
        </is>
      </c>
      <c r="F323" s="75" t="n"/>
      <c r="I323" s="117" t="inlineStr">
        <is>
          <t>true</t>
        </is>
      </c>
      <c r="J323" s="117" t="n"/>
      <c r="K323" s="117" t="n"/>
      <c r="L323" s="117" t="n"/>
      <c r="M323" s="117" t="inlineStr">
        <is>
          <t>${resp_agree} = '1'</t>
        </is>
      </c>
      <c r="N323" s="117" t="n"/>
      <c r="O323" s="117" t="n"/>
      <c r="P323" s="117" t="n"/>
      <c r="U323" s="45" t="inlineStr">
        <is>
          <t>no</t>
        </is>
      </c>
      <c r="W323" s="275" t="n"/>
      <c r="Y323" s="276" t="n"/>
    </row>
    <row r="324" ht="28.8" customHeight="1">
      <c r="A324" s="75" t="inlineStr">
        <is>
          <t>geopoint</t>
        </is>
      </c>
      <c r="B324" s="75" t="inlineStr">
        <is>
          <t>gps_2</t>
        </is>
      </c>
      <c r="C324" s="44" t="inlineStr">
        <is>
          <t>GPS INSTRUCTION: You didn't take a measurement earlier. Now walk around the household or go near the main road and try to take a GPS measurement.</t>
        </is>
      </c>
      <c r="D324" s="189" t="n"/>
      <c r="E324" s="189" t="n"/>
      <c r="F324" s="75" t="n"/>
      <c r="G324" s="190" t="n"/>
      <c r="H324" s="190" t="n"/>
      <c r="I324" s="117" t="inlineStr">
        <is>
          <t xml:space="preserve">false </t>
        </is>
      </c>
      <c r="J324" s="117" t="n"/>
      <c r="K324" s="117" t="n"/>
      <c r="L324" s="117" t="n"/>
      <c r="M324" s="117" t="inlineStr">
        <is>
          <t>${resp_agree} = '1' and ${gps_1} = ''</t>
        </is>
      </c>
      <c r="N324" s="117" t="n"/>
      <c r="O324" s="117" t="n"/>
      <c r="P324" s="117" t="n"/>
      <c r="W324" s="275" t="n"/>
      <c r="Y324" s="276" t="n"/>
    </row>
    <row r="325" customFormat="1" s="77">
      <c r="A325" s="77" t="inlineStr">
        <is>
          <t>text</t>
        </is>
      </c>
      <c r="B325" s="77" t="inlineStr">
        <is>
          <t>enum_notes</t>
        </is>
      </c>
      <c r="C325" s="78" t="inlineStr">
        <is>
          <t>Enter any notes or feedback from this survey:</t>
        </is>
      </c>
      <c r="D325" s="79" t="n"/>
      <c r="E325" s="79" t="n"/>
      <c r="F325" s="77" t="inlineStr">
        <is>
          <t xml:space="preserve">Leave empty if there are no comments. </t>
        </is>
      </c>
      <c r="G325" s="83" t="n"/>
      <c r="H325" s="83" t="n"/>
      <c r="I325" s="118" t="inlineStr">
        <is>
          <t>false</t>
        </is>
      </c>
      <c r="J325" s="118" t="n"/>
      <c r="K325" s="118" t="n"/>
      <c r="L325" s="118" t="n"/>
      <c r="M325" s="118" t="n"/>
      <c r="N325" s="118" t="n"/>
      <c r="O325" s="118" t="n"/>
      <c r="P325" s="118" t="n"/>
      <c r="U325" s="77" t="inlineStr">
        <is>
          <t>no</t>
        </is>
      </c>
      <c r="W325" s="275" t="n"/>
      <c r="X325" s="109" t="n"/>
      <c r="Y325" s="276" t="n"/>
      <c r="Z325" s="276">
        <f>IF(AND(W325&lt;&gt;"",U325="yes"),W325*X325,"")</f>
        <v/>
      </c>
    </row>
    <row r="326">
      <c r="A326" s="75" t="inlineStr">
        <is>
          <t>calculate</t>
        </is>
      </c>
      <c r="B326" s="75" t="inlineStr">
        <is>
          <t>__version__</t>
        </is>
      </c>
      <c r="C326" s="44" t="n"/>
      <c r="F326" s="75" t="n"/>
      <c r="I326" s="117" t="inlineStr">
        <is>
          <t>false</t>
        </is>
      </c>
      <c r="J326" s="117" t="n"/>
      <c r="K326" s="117" t="n"/>
      <c r="L326" s="117" t="n"/>
      <c r="M326" s="117" t="n"/>
      <c r="N326" s="117" t="n"/>
      <c r="O326" s="117" t="n"/>
      <c r="P326" s="117" t="inlineStr">
        <is>
          <t>'vfVbKi5bfYAnEzqoBsXTzQ'</t>
        </is>
      </c>
      <c r="U326" s="45" t="inlineStr">
        <is>
          <t>no</t>
        </is>
      </c>
      <c r="W326" s="275" t="n"/>
    </row>
    <row r="327">
      <c r="W327" s="275" t="n"/>
    </row>
    <row r="328"/>
    <row r="329"/>
    <row r="330"/>
    <row r="331" ht="15" customHeight="1" thickBot="1"/>
    <row r="332" ht="16.2" customHeight="1" thickBot="1">
      <c r="S332" s="202" t="inlineStr">
        <is>
          <t xml:space="preserve">AVERAGE ESTIMATED DURATION </t>
        </is>
      </c>
      <c r="T332" s="203" t="n"/>
      <c r="U332" s="203" t="n"/>
      <c r="V332" s="203" t="n"/>
      <c r="W332" s="195" t="n"/>
      <c r="X332" s="173" t="n"/>
      <c r="Y332" s="174">
        <f>(SUM(Y4:Y319)/60)</f>
        <v/>
      </c>
      <c r="Z332" s="174">
        <f>(SUM(Z4:Z49)+AVERAGE(Z50:Z52)+SUM(Z53:Z319))/60</f>
        <v/>
      </c>
    </row>
  </sheetData>
  <sheetProtection selectLockedCells="0" selectUnlockedCells="0" algorithmName="SHA-512" sheet="1" objects="0" insertRows="0" insertHyperlinks="1" autoFilter="1" scenarios="0" formatColumns="0" deleteColumns="0" insertColumns="0" pivotTables="1" deleteRows="0" formatCells="0" saltValue="b5h9vbO4U4tBba/7YoRk6A==" formatRows="0" sort="1" spinCount="100000" hashValue="fxT7Ai6aJkY2J7DxF2LJM6Qz4bJP81GGA5syWuwhh3Mgfg+oJmB2yGH67jQP1ob1Ne7YTBlXt+HpXdskoHNtWA=="/>
  <conditionalFormatting sqref="B122:B124">
    <cfRule type="duplicateValues" priority="2" dxfId="0"/>
    <cfRule type="duplicateValues" priority="3" dxfId="0"/>
    <cfRule type="duplicateValues" priority="4" dxfId="0"/>
  </conditionalFormatting>
  <conditionalFormatting sqref="B123:B124">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27"/>
  <sheetViews>
    <sheetView zoomScaleNormal="110" workbookViewId="0">
      <pane ySplit="1" topLeftCell="A88" activePane="bottomLeft" state="frozen"/>
      <selection pane="bottomLeft" activeCell="A238" sqref="A238"/>
    </sheetView>
  </sheetViews>
  <sheetFormatPr baseColWidth="8" defaultColWidth="8.77734375" defaultRowHeight="14.4"/>
  <cols>
    <col width="22.77734375" customWidth="1" style="3" min="1" max="1"/>
    <col width="30" customWidth="1" style="3" min="2" max="2"/>
    <col width="27.109375" customWidth="1" style="3" min="3" max="3"/>
    <col width="20" customWidth="1" style="3" min="4" max="5"/>
    <col width="16.109375" customWidth="1" style="3" min="6" max="6"/>
    <col width="8.77734375" customWidth="1" style="3" min="7" max="16384"/>
  </cols>
  <sheetData>
    <row r="1">
      <c r="A1" s="6" t="inlineStr">
        <is>
          <t>list_name</t>
        </is>
      </c>
      <c r="B1" s="6" t="inlineStr">
        <is>
          <t>name</t>
        </is>
      </c>
      <c r="C1" s="6" t="inlineStr">
        <is>
          <t>label::English (en)</t>
        </is>
      </c>
      <c r="D1" s="237" t="inlineStr">
        <is>
          <t>label::Dari (fa)</t>
        </is>
      </c>
      <c r="E1" s="237" t="inlineStr">
        <is>
          <t>label::Pashto (pa)</t>
        </is>
      </c>
      <c r="F1" s="6" t="inlineStr">
        <is>
          <t>my_filter_admin</t>
        </is>
      </c>
    </row>
    <row r="2" customFormat="1" s="13">
      <c r="A2" s="13" t="inlineStr">
        <is>
          <t>enumteam</t>
        </is>
      </c>
      <c r="B2" s="211" t="n">
        <v>1</v>
      </c>
      <c r="C2" s="211" t="inlineStr">
        <is>
          <t>Enumerator team 1</t>
        </is>
      </c>
      <c r="D2" s="212" t="n"/>
      <c r="E2" s="212" t="n"/>
      <c r="F2" s="213" t="n"/>
    </row>
    <row r="3" customFormat="1" s="13">
      <c r="A3" s="13" t="inlineStr">
        <is>
          <t>enumteam</t>
        </is>
      </c>
      <c r="B3" s="211" t="n">
        <v>2</v>
      </c>
      <c r="C3" s="211" t="inlineStr">
        <is>
          <t>Enumerator team 2</t>
        </is>
      </c>
      <c r="D3" s="212" t="n"/>
      <c r="E3" s="212" t="n"/>
      <c r="F3" s="213" t="n"/>
    </row>
    <row r="4" customFormat="1" s="13">
      <c r="A4" s="13" t="inlineStr">
        <is>
          <t>enumteam</t>
        </is>
      </c>
      <c r="B4" s="211" t="n">
        <v>3</v>
      </c>
      <c r="C4" s="211" t="inlineStr">
        <is>
          <t>Enumerator team 3</t>
        </is>
      </c>
      <c r="D4" s="212" t="n"/>
      <c r="E4" s="212" t="n"/>
      <c r="F4" s="213" t="n"/>
    </row>
    <row r="5" customFormat="1" s="13">
      <c r="A5" s="13" t="inlineStr">
        <is>
          <t>enumteam</t>
        </is>
      </c>
      <c r="B5" s="211" t="n">
        <v>4</v>
      </c>
      <c r="C5" s="211" t="inlineStr">
        <is>
          <t>Enumerator team 4</t>
        </is>
      </c>
      <c r="D5" s="212" t="n"/>
      <c r="E5" s="212" t="n"/>
      <c r="F5" s="213" t="n"/>
    </row>
    <row r="6">
      <c r="A6" s="2" t="n"/>
      <c r="B6" s="2" t="n"/>
      <c r="C6" s="2" t="n"/>
      <c r="D6" s="1" t="n"/>
      <c r="E6" s="1" t="n"/>
      <c r="F6" s="2" t="n"/>
    </row>
    <row r="7">
      <c r="A7" t="inlineStr">
        <is>
          <t>enumerator</t>
        </is>
      </c>
      <c r="B7" s="3" t="n">
        <v>1</v>
      </c>
      <c r="C7" s="5" t="inlineStr">
        <is>
          <t>enumerator name 1</t>
        </is>
      </c>
      <c r="D7" s="4" t="n"/>
      <c r="E7" s="4" t="n"/>
      <c r="F7" s="214" t="n"/>
    </row>
    <row r="8">
      <c r="A8" t="inlineStr">
        <is>
          <t>enumerator</t>
        </is>
      </c>
      <c r="B8" s="3" t="n">
        <v>2</v>
      </c>
      <c r="C8" s="5" t="inlineStr">
        <is>
          <t>enumerator name 2</t>
        </is>
      </c>
      <c r="D8" s="4" t="n"/>
      <c r="E8" s="4" t="n"/>
      <c r="F8" s="214" t="n"/>
    </row>
    <row r="9">
      <c r="A9" t="inlineStr">
        <is>
          <t>enumerator</t>
        </is>
      </c>
      <c r="B9" s="3" t="n">
        <v>3</v>
      </c>
      <c r="C9" s="5" t="inlineStr">
        <is>
          <t>enumerator name 3</t>
        </is>
      </c>
      <c r="D9" s="4" t="n"/>
      <c r="E9" s="4" t="n"/>
      <c r="F9" s="214" t="n"/>
    </row>
    <row r="10">
      <c r="D10" s="4" t="n"/>
      <c r="E10" s="4" t="n"/>
    </row>
    <row r="11">
      <c r="A11" t="inlineStr">
        <is>
          <t>yes_no</t>
        </is>
      </c>
      <c r="B11" t="n">
        <v>1</v>
      </c>
      <c r="C11" t="inlineStr">
        <is>
          <t>YES</t>
        </is>
      </c>
      <c r="D11" s="4" t="n"/>
      <c r="E11" s="4" t="n"/>
    </row>
    <row r="12">
      <c r="A12" t="inlineStr">
        <is>
          <t>yes_no</t>
        </is>
      </c>
      <c r="B12" t="n">
        <v>2</v>
      </c>
      <c r="C12" t="inlineStr">
        <is>
          <t>NO</t>
        </is>
      </c>
      <c r="D12" s="4" t="n"/>
      <c r="E12" s="4" t="n"/>
    </row>
    <row r="13">
      <c r="A13" t="inlineStr">
        <is>
          <t>yes_no</t>
        </is>
      </c>
      <c r="B13" s="221" t="n">
        <v>3</v>
      </c>
      <c r="C13" t="inlineStr">
        <is>
          <t>DON'T KNOW</t>
        </is>
      </c>
      <c r="D13" s="4" t="n"/>
      <c r="E13" s="4" t="n"/>
    </row>
    <row r="14">
      <c r="A14" t="inlineStr">
        <is>
          <t>yes_no</t>
        </is>
      </c>
      <c r="B14" s="221" t="n">
        <v>4</v>
      </c>
      <c r="C14" t="inlineStr">
        <is>
          <t>REFUSED</t>
        </is>
      </c>
      <c r="D14" s="4" t="n"/>
      <c r="E14" s="4" t="n"/>
    </row>
    <row r="15">
      <c r="D15" s="4" t="n"/>
      <c r="E15" s="4" t="n"/>
    </row>
    <row r="16">
      <c r="A16" t="inlineStr">
        <is>
          <t>continue</t>
        </is>
      </c>
      <c r="B16" t="inlineStr">
        <is>
          <t>continue</t>
        </is>
      </c>
      <c r="C16" t="inlineStr">
        <is>
          <t>continue</t>
        </is>
      </c>
      <c r="D16" s="4" t="n"/>
      <c r="E16" s="4" t="n"/>
    </row>
    <row r="17">
      <c r="D17" s="4" t="n"/>
      <c r="E17" s="4" t="n"/>
    </row>
    <row r="18">
      <c r="A18" t="inlineStr">
        <is>
          <t>yesno</t>
        </is>
      </c>
      <c r="B18" t="n">
        <v>1</v>
      </c>
      <c r="C18" t="inlineStr">
        <is>
          <t>Yes</t>
        </is>
      </c>
      <c r="D18" s="4" t="n"/>
      <c r="E18" s="4" t="n"/>
    </row>
    <row r="19">
      <c r="A19" t="inlineStr">
        <is>
          <t>yesno</t>
        </is>
      </c>
      <c r="B19" t="n">
        <v>2</v>
      </c>
      <c r="C19" t="inlineStr">
        <is>
          <t>No</t>
        </is>
      </c>
      <c r="D19" s="4" t="n"/>
      <c r="E19" s="4" t="n"/>
    </row>
    <row r="20">
      <c r="D20" s="4" t="n"/>
      <c r="E20" s="4" t="n"/>
    </row>
    <row r="21" customFormat="1" s="11">
      <c r="A21" s="222" t="inlineStr">
        <is>
          <t>language</t>
        </is>
      </c>
      <c r="B21" s="222" t="inlineStr">
        <is>
          <t>en</t>
        </is>
      </c>
      <c r="C21" s="222" t="inlineStr">
        <is>
          <t>English</t>
        </is>
      </c>
      <c r="D21" s="7" t="n"/>
      <c r="E21" s="7" t="n"/>
    </row>
    <row r="22" customFormat="1" s="11">
      <c r="A22" s="239" t="inlineStr">
        <is>
          <t>language</t>
        </is>
      </c>
      <c r="B22" s="239" t="inlineStr">
        <is>
          <t>fa</t>
        </is>
      </c>
      <c r="C22" s="239" t="inlineStr">
        <is>
          <t>Farsi</t>
        </is>
      </c>
      <c r="D22" s="240" t="n"/>
      <c r="E22" s="240" t="n"/>
    </row>
    <row r="23" customFormat="1" s="11">
      <c r="A23" s="239" t="inlineStr">
        <is>
          <t>language</t>
        </is>
      </c>
      <c r="B23" s="239" t="inlineStr">
        <is>
          <t>pa</t>
        </is>
      </c>
      <c r="C23" s="239" t="inlineStr">
        <is>
          <t>Pashto</t>
        </is>
      </c>
      <c r="D23" s="240" t="n"/>
      <c r="E23" s="240" t="n"/>
    </row>
    <row r="24">
      <c r="D24" s="4" t="n"/>
      <c r="E24" s="4" t="n"/>
    </row>
    <row r="25">
      <c r="A25" t="inlineStr">
        <is>
          <t>gender</t>
        </is>
      </c>
      <c r="B25" t="n">
        <v>1</v>
      </c>
      <c r="C25" t="inlineStr">
        <is>
          <t>Male</t>
        </is>
      </c>
      <c r="D25" s="4" t="n"/>
      <c r="E25" s="4" t="n"/>
    </row>
    <row r="26">
      <c r="A26" t="inlineStr">
        <is>
          <t>gender</t>
        </is>
      </c>
      <c r="B26" t="n">
        <v>2</v>
      </c>
      <c r="C26" t="inlineStr">
        <is>
          <t>Female</t>
        </is>
      </c>
      <c r="D26" s="4" t="n"/>
      <c r="E26" s="4" t="n"/>
    </row>
    <row r="27">
      <c r="A27" t="inlineStr">
        <is>
          <t>gender</t>
        </is>
      </c>
      <c r="B27" s="221" t="n">
        <v>3</v>
      </c>
      <c r="C27" s="222" t="inlineStr">
        <is>
          <t>DON'T KNOW</t>
        </is>
      </c>
      <c r="D27" s="4" t="n"/>
      <c r="E27" s="4" t="n"/>
    </row>
    <row r="28">
      <c r="A28" t="inlineStr">
        <is>
          <t>gender</t>
        </is>
      </c>
      <c r="B28" s="221" t="n">
        <v>4</v>
      </c>
      <c r="C28" s="222" t="inlineStr">
        <is>
          <t>REFUSED</t>
        </is>
      </c>
      <c r="D28" s="4" t="n"/>
      <c r="E28" s="4" t="n"/>
    </row>
    <row r="29">
      <c r="C29" s="14" t="n"/>
      <c r="D29" s="4" t="n"/>
      <c r="E29" s="4" t="n"/>
    </row>
    <row r="30">
      <c r="A30" t="inlineStr">
        <is>
          <t>contact_info</t>
        </is>
      </c>
      <c r="B30" t="n">
        <v>1</v>
      </c>
      <c r="C30" s="222" t="inlineStr">
        <is>
          <t>YES - mine</t>
        </is>
      </c>
      <c r="D30" s="4" t="n"/>
      <c r="E30" s="4" t="n"/>
    </row>
    <row r="31">
      <c r="A31" t="inlineStr">
        <is>
          <t>contact_info</t>
        </is>
      </c>
      <c r="B31" t="n">
        <v>2</v>
      </c>
      <c r="C31" s="3" t="inlineStr">
        <is>
          <t>YES - other household member</t>
        </is>
      </c>
      <c r="D31" s="4" t="n"/>
      <c r="E31" s="4" t="n"/>
    </row>
    <row r="32">
      <c r="A32" t="inlineStr">
        <is>
          <t>contact_info</t>
        </is>
      </c>
      <c r="B32" t="n">
        <v>3</v>
      </c>
      <c r="C32" s="222" t="inlineStr">
        <is>
          <t>YES - friend or relative (non-household member)</t>
        </is>
      </c>
      <c r="D32" s="4" t="n"/>
      <c r="E32" s="4" t="n"/>
    </row>
    <row r="33">
      <c r="A33" t="inlineStr">
        <is>
          <t>contact_info</t>
        </is>
      </c>
      <c r="B33" t="n">
        <v>4</v>
      </c>
      <c r="C33" s="222" t="inlineStr">
        <is>
          <t>NO</t>
        </is>
      </c>
      <c r="D33" s="4" t="n"/>
      <c r="E33" s="4" t="n"/>
    </row>
    <row r="34">
      <c r="C34" s="14" t="n"/>
      <c r="D34" s="4" t="n"/>
      <c r="E34" s="4" t="n"/>
    </row>
    <row r="35">
      <c r="A35" t="inlineStr">
        <is>
          <t>agricactivity</t>
        </is>
      </c>
      <c r="B35" t="n">
        <v>1</v>
      </c>
      <c r="C35" t="inlineStr">
        <is>
          <t xml:space="preserve">Yes - crop production </t>
        </is>
      </c>
      <c r="D35" s="4" t="n"/>
      <c r="E35" s="4" t="n"/>
    </row>
    <row r="36">
      <c r="A36" t="inlineStr">
        <is>
          <t>agricactivity</t>
        </is>
      </c>
      <c r="B36" t="n">
        <v>2</v>
      </c>
      <c r="C36" t="inlineStr">
        <is>
          <t>Yes - livestock production</t>
        </is>
      </c>
      <c r="D36" s="4" t="n"/>
      <c r="E36" s="4" t="n"/>
    </row>
    <row r="37">
      <c r="A37" t="inlineStr">
        <is>
          <t>agricactivity</t>
        </is>
      </c>
      <c r="B37" t="n">
        <v>3</v>
      </c>
      <c r="C37" t="inlineStr">
        <is>
          <t xml:space="preserve">Yes - both crop and livestock production </t>
        </is>
      </c>
      <c r="D37" s="4" t="n"/>
      <c r="E37" s="4" t="n"/>
    </row>
    <row r="38">
      <c r="A38" t="inlineStr">
        <is>
          <t>agricactivity</t>
        </is>
      </c>
      <c r="B38" t="n">
        <v>4</v>
      </c>
      <c r="C38" t="inlineStr">
        <is>
          <t>No</t>
        </is>
      </c>
      <c r="D38" s="4" t="n"/>
      <c r="E38" s="4" t="n"/>
    </row>
    <row r="39">
      <c r="A39" t="inlineStr">
        <is>
          <t>agricactivity</t>
        </is>
      </c>
      <c r="B39" s="221" t="n">
        <v>5</v>
      </c>
      <c r="C39" s="222" t="inlineStr">
        <is>
          <t>DON'T KNOW</t>
        </is>
      </c>
      <c r="D39" s="4" t="n"/>
      <c r="E39" s="4" t="n"/>
    </row>
    <row r="40">
      <c r="A40" t="inlineStr">
        <is>
          <t>agricactivity</t>
        </is>
      </c>
      <c r="B40" s="221" t="n">
        <v>6</v>
      </c>
      <c r="C40" t="inlineStr">
        <is>
          <t>REFUSED</t>
        </is>
      </c>
      <c r="D40" s="4" t="n"/>
      <c r="E40" s="4" t="n"/>
    </row>
    <row r="41">
      <c r="D41" s="4" t="n"/>
      <c r="E41" s="4" t="n"/>
    </row>
    <row r="42">
      <c r="A42" t="inlineStr">
        <is>
          <t>edu</t>
        </is>
      </c>
      <c r="B42" t="n">
        <v>1</v>
      </c>
      <c r="C42" s="222" t="inlineStr">
        <is>
          <t>None or did not complete primary school</t>
        </is>
      </c>
      <c r="D42" s="4" t="n"/>
      <c r="E42" s="4" t="n"/>
    </row>
    <row r="43">
      <c r="A43" t="inlineStr">
        <is>
          <t>edu</t>
        </is>
      </c>
      <c r="B43" t="n">
        <v>2</v>
      </c>
      <c r="C43" s="222" t="inlineStr">
        <is>
          <t>Completed primary school</t>
        </is>
      </c>
      <c r="D43" s="4" t="n"/>
      <c r="E43" s="4" t="n"/>
    </row>
    <row r="44">
      <c r="A44" t="inlineStr">
        <is>
          <t>edu</t>
        </is>
      </c>
      <c r="B44" t="n">
        <v>3</v>
      </c>
      <c r="C44" s="222" t="inlineStr">
        <is>
          <t>Completed secondary school</t>
        </is>
      </c>
      <c r="D44" s="4" t="n"/>
      <c r="E44" s="4" t="n"/>
    </row>
    <row r="45">
      <c r="A45" t="inlineStr">
        <is>
          <t>edu</t>
        </is>
      </c>
      <c r="B45" t="n">
        <v>4</v>
      </c>
      <c r="C45" s="222" t="inlineStr">
        <is>
          <t>Completed higher education [University / College] degree</t>
        </is>
      </c>
      <c r="D45" s="4" t="n"/>
      <c r="E45" s="4" t="n"/>
    </row>
    <row r="46">
      <c r="A46" t="inlineStr">
        <is>
          <t>edu</t>
        </is>
      </c>
      <c r="B46" t="n">
        <v>5</v>
      </c>
      <c r="C46" s="222" t="inlineStr">
        <is>
          <t>Religious or informal education only</t>
        </is>
      </c>
      <c r="D46" s="4" t="n"/>
      <c r="E46" s="4" t="n"/>
    </row>
    <row r="47">
      <c r="A47" t="inlineStr">
        <is>
          <t>edu</t>
        </is>
      </c>
      <c r="B47" s="221" t="n">
        <v>6</v>
      </c>
      <c r="C47" t="inlineStr">
        <is>
          <t>DON'T KNOW</t>
        </is>
      </c>
      <c r="D47" s="4" t="n"/>
      <c r="E47" s="4" t="n"/>
    </row>
    <row r="48">
      <c r="A48" t="inlineStr">
        <is>
          <t>edu</t>
        </is>
      </c>
      <c r="B48" s="221" t="n">
        <v>7</v>
      </c>
      <c r="C48" t="inlineStr">
        <is>
          <t>REFUSED</t>
        </is>
      </c>
      <c r="D48" s="4" t="n"/>
      <c r="E48" s="4" t="n"/>
    </row>
    <row r="49">
      <c r="B49" s="10" t="n"/>
      <c r="D49" s="4" t="n"/>
      <c r="E49" s="4" t="n"/>
    </row>
    <row r="50">
      <c r="A50" t="inlineStr">
        <is>
          <t>water</t>
        </is>
      </c>
      <c r="B50" s="221" t="n">
        <v>1</v>
      </c>
      <c r="C50" t="inlineStr">
        <is>
          <t>Private tap from piped water</t>
        </is>
      </c>
      <c r="D50" s="4" t="n"/>
      <c r="E50" s="4" t="n"/>
    </row>
    <row r="51">
      <c r="A51" t="inlineStr">
        <is>
          <t>water</t>
        </is>
      </c>
      <c r="B51" s="221" t="n">
        <v>2</v>
      </c>
      <c r="C51" t="inlineStr">
        <is>
          <t>Public tap</t>
        </is>
      </c>
      <c r="D51" s="4" t="n"/>
      <c r="E51" s="4" t="n"/>
    </row>
    <row r="52">
      <c r="A52" t="inlineStr">
        <is>
          <t>water</t>
        </is>
      </c>
      <c r="B52" s="221" t="n">
        <v>3</v>
      </c>
      <c r="C52" t="inlineStr">
        <is>
          <t>Protected well</t>
        </is>
      </c>
      <c r="D52" s="4" t="n"/>
      <c r="E52" s="4" t="n"/>
    </row>
    <row r="53">
      <c r="A53" t="inlineStr">
        <is>
          <t>water</t>
        </is>
      </c>
      <c r="B53" s="221" t="n">
        <v>4</v>
      </c>
      <c r="C53" t="inlineStr">
        <is>
          <t>Bottled water</t>
        </is>
      </c>
      <c r="D53" s="4" t="n"/>
      <c r="E53" s="4" t="n"/>
    </row>
    <row r="54">
      <c r="A54" t="inlineStr">
        <is>
          <t>water</t>
        </is>
      </c>
      <c r="B54" s="221" t="n">
        <v>5</v>
      </c>
      <c r="C54" t="inlineStr">
        <is>
          <t>Other safe source</t>
        </is>
      </c>
      <c r="D54" s="4" t="n"/>
      <c r="E54" s="4" t="n"/>
    </row>
    <row r="55">
      <c r="A55" t="inlineStr">
        <is>
          <t>water</t>
        </is>
      </c>
      <c r="B55" s="221" t="n">
        <v>6</v>
      </c>
      <c r="C55" t="inlineStr">
        <is>
          <t>River</t>
        </is>
      </c>
      <c r="D55" s="4" t="n"/>
      <c r="E55" s="4" t="n"/>
    </row>
    <row r="56">
      <c r="A56" t="inlineStr">
        <is>
          <t>water</t>
        </is>
      </c>
      <c r="B56" s="221" t="n">
        <v>7</v>
      </c>
      <c r="C56" t="inlineStr">
        <is>
          <t>Unprotected well</t>
        </is>
      </c>
      <c r="D56" s="4" t="n"/>
      <c r="E56" s="4" t="n"/>
    </row>
    <row r="57">
      <c r="A57" t="inlineStr">
        <is>
          <t>water</t>
        </is>
      </c>
      <c r="B57" s="221" t="n">
        <v>8</v>
      </c>
      <c r="C57" t="inlineStr">
        <is>
          <t>Spring water</t>
        </is>
      </c>
      <c r="D57" s="4" t="n"/>
      <c r="E57" s="4" t="n"/>
    </row>
    <row r="58">
      <c r="A58" t="inlineStr">
        <is>
          <t>water</t>
        </is>
      </c>
      <c r="B58" s="221" t="n">
        <v>9</v>
      </c>
      <c r="C58" t="inlineStr">
        <is>
          <t>Surface water [e.g. canal, ponds, dams]</t>
        </is>
      </c>
      <c r="D58" s="4" t="n"/>
      <c r="E58" s="4" t="n"/>
    </row>
    <row r="59">
      <c r="A59" t="inlineStr">
        <is>
          <t>water</t>
        </is>
      </c>
      <c r="B59" s="221" t="n">
        <v>10</v>
      </c>
      <c r="C59" t="inlineStr">
        <is>
          <t>Other unsafe source</t>
        </is>
      </c>
      <c r="D59" s="4" t="n"/>
      <c r="E59" s="4" t="n"/>
    </row>
    <row r="60">
      <c r="A60" t="inlineStr">
        <is>
          <t>water</t>
        </is>
      </c>
      <c r="B60" s="221" t="n">
        <v>11</v>
      </c>
      <c r="C60" t="inlineStr">
        <is>
          <t>DON'T KNOW</t>
        </is>
      </c>
      <c r="D60" s="4" t="n"/>
      <c r="E60" s="4" t="n"/>
    </row>
    <row r="61">
      <c r="A61" t="inlineStr">
        <is>
          <t>water</t>
        </is>
      </c>
      <c r="B61" s="221" t="n">
        <v>12</v>
      </c>
      <c r="C61" t="inlineStr">
        <is>
          <t>REFUSED</t>
        </is>
      </c>
      <c r="D61" s="4" t="n"/>
      <c r="E61" s="4" t="n"/>
    </row>
    <row r="62">
      <c r="B62" s="10" t="n"/>
      <c r="D62" s="4" t="n"/>
      <c r="E62" s="4" t="n"/>
    </row>
    <row r="63">
      <c r="A63" t="inlineStr">
        <is>
          <t>toilet</t>
        </is>
      </c>
      <c r="B63" s="221" t="n">
        <v>1</v>
      </c>
      <c r="C63" t="inlineStr">
        <is>
          <t>Flush latrine/toilet with water</t>
        </is>
      </c>
      <c r="D63" s="4" t="n"/>
      <c r="E63" s="4" t="n"/>
    </row>
    <row r="64">
      <c r="A64" t="inlineStr">
        <is>
          <t>toilet</t>
        </is>
      </c>
      <c r="B64" s="221" t="n">
        <v>2</v>
      </c>
      <c r="C64" t="inlineStr">
        <is>
          <t>Traditional pit latrine [no water]</t>
        </is>
      </c>
      <c r="D64" s="4" t="n"/>
      <c r="E64" s="4" t="n"/>
    </row>
    <row r="65">
      <c r="A65" t="inlineStr">
        <is>
          <t>toilet</t>
        </is>
      </c>
      <c r="B65" s="221" t="n">
        <v>3</v>
      </c>
      <c r="C65" t="inlineStr">
        <is>
          <t>Open pit [hole in the ground for excrement without water, roof or wall]</t>
        </is>
      </c>
      <c r="D65" s="4" t="n"/>
      <c r="E65" s="4" t="n"/>
    </row>
    <row r="66">
      <c r="A66" t="inlineStr">
        <is>
          <t>toilet</t>
        </is>
      </c>
      <c r="B66" s="221" t="n">
        <v>4</v>
      </c>
      <c r="C66" t="inlineStr">
        <is>
          <t>Communal latrine [with or without water]</t>
        </is>
      </c>
      <c r="D66" s="4" t="n"/>
      <c r="E66" s="4" t="n"/>
    </row>
    <row r="67">
      <c r="A67" t="inlineStr">
        <is>
          <t>toilet</t>
        </is>
      </c>
      <c r="B67" s="221" t="n">
        <v>5</v>
      </c>
      <c r="C67" t="inlineStr">
        <is>
          <t>None – bush</t>
        </is>
      </c>
      <c r="D67" s="4" t="n"/>
      <c r="E67" s="4" t="n"/>
    </row>
    <row r="68">
      <c r="A68" t="inlineStr">
        <is>
          <t>toilet</t>
        </is>
      </c>
      <c r="B68" s="221" t="n">
        <v>6</v>
      </c>
      <c r="C68" t="inlineStr">
        <is>
          <t>DON'T KNOW</t>
        </is>
      </c>
      <c r="D68" s="4" t="n"/>
      <c r="E68" s="4" t="n"/>
    </row>
    <row r="69">
      <c r="A69" t="inlineStr">
        <is>
          <t>toilet</t>
        </is>
      </c>
      <c r="B69" s="221" t="n">
        <v>7</v>
      </c>
      <c r="C69" t="inlineStr">
        <is>
          <t>REFUSED</t>
        </is>
      </c>
      <c r="D69" s="4" t="n"/>
      <c r="E69" s="4" t="n"/>
    </row>
    <row r="70">
      <c r="B70" s="10" t="n"/>
      <c r="D70" s="4" t="n"/>
      <c r="E70" s="4" t="n"/>
    </row>
    <row r="71">
      <c r="A71" t="inlineStr">
        <is>
          <t>light</t>
        </is>
      </c>
      <c r="B71" s="221" t="n">
        <v>1</v>
      </c>
      <c r="C71" t="inlineStr">
        <is>
          <t>Electricity [from generator or electrical grid]</t>
        </is>
      </c>
      <c r="D71" s="4" t="n"/>
      <c r="E71" s="4" t="n"/>
    </row>
    <row r="72">
      <c r="A72" t="inlineStr">
        <is>
          <t>light</t>
        </is>
      </c>
      <c r="B72" s="221" t="n">
        <v>2</v>
      </c>
      <c r="C72" t="inlineStr">
        <is>
          <t>Candle</t>
        </is>
      </c>
      <c r="D72" s="4" t="n"/>
      <c r="E72" s="4" t="n"/>
    </row>
    <row r="73">
      <c r="A73" t="inlineStr">
        <is>
          <t>light</t>
        </is>
      </c>
      <c r="B73" s="221" t="n">
        <v>3</v>
      </c>
      <c r="C73" t="inlineStr">
        <is>
          <t>Petrol lamp</t>
        </is>
      </c>
      <c r="D73" s="4" t="n"/>
      <c r="E73" s="4" t="n"/>
    </row>
    <row r="74">
      <c r="A74" t="inlineStr">
        <is>
          <t>light</t>
        </is>
      </c>
      <c r="B74" s="221" t="n">
        <v>4</v>
      </c>
      <c r="C74" t="inlineStr">
        <is>
          <t>Lamp with batteries</t>
        </is>
      </c>
      <c r="D74" s="4" t="n"/>
      <c r="E74" s="4" t="n"/>
    </row>
    <row r="75">
      <c r="A75" t="inlineStr">
        <is>
          <t>light</t>
        </is>
      </c>
      <c r="B75" s="221" t="n">
        <v>5</v>
      </c>
      <c r="C75" t="inlineStr">
        <is>
          <t>Solar panel</t>
        </is>
      </c>
      <c r="D75" s="4" t="n"/>
      <c r="E75" s="4" t="n"/>
    </row>
    <row r="76">
      <c r="A76" t="inlineStr">
        <is>
          <t>light</t>
        </is>
      </c>
      <c r="B76" s="221" t="n">
        <v>6</v>
      </c>
      <c r="C76" t="inlineStr">
        <is>
          <t>Other [no electric supply to the house]</t>
        </is>
      </c>
      <c r="D76" s="4" t="n"/>
      <c r="E76" s="4" t="n"/>
    </row>
    <row r="77">
      <c r="A77" t="inlineStr">
        <is>
          <t>light</t>
        </is>
      </c>
      <c r="B77" s="221" t="n">
        <v>7</v>
      </c>
      <c r="C77" t="inlineStr">
        <is>
          <t>DON'T KNOW</t>
        </is>
      </c>
      <c r="D77" s="4" t="n"/>
      <c r="E77" s="4" t="n"/>
    </row>
    <row r="78">
      <c r="A78" t="inlineStr">
        <is>
          <t>light</t>
        </is>
      </c>
      <c r="B78" s="221" t="n">
        <v>8</v>
      </c>
      <c r="C78" t="inlineStr">
        <is>
          <t>REFUSED</t>
        </is>
      </c>
      <c r="D78" s="4" t="n"/>
      <c r="E78" s="4" t="n"/>
    </row>
    <row r="79">
      <c r="D79" s="4" t="n"/>
      <c r="E79" s="4" t="n"/>
    </row>
    <row r="80">
      <c r="A80" s="223" t="inlineStr">
        <is>
          <t>residence</t>
        </is>
      </c>
      <c r="B80" s="223" t="n">
        <v>1</v>
      </c>
      <c r="C80" s="223" t="inlineStr">
        <is>
          <t>Permanent Resident - you have been living in your village / town for longer than two years and this is what you consider your habitual residence</t>
        </is>
      </c>
      <c r="D80" s="4" t="n"/>
      <c r="E80" s="4" t="n"/>
    </row>
    <row r="81">
      <c r="A81" s="223" t="inlineStr">
        <is>
          <t>residence</t>
        </is>
      </c>
      <c r="B81" s="223" t="n">
        <v>2</v>
      </c>
      <c r="C81" s="223" t="inlineStr">
        <is>
          <t>Recent migrant not forcefully displaced - you have been living in your current place of residence for less than two years and you moved there voluntarily for work / family or other reasons that are not related to conflict or natural disaster</t>
        </is>
      </c>
      <c r="D81" s="4" t="n"/>
      <c r="E81" s="4" t="n"/>
    </row>
    <row r="82">
      <c r="A82" s="223" t="inlineStr">
        <is>
          <t>residence</t>
        </is>
      </c>
      <c r="B82" s="223" t="n">
        <v>3</v>
      </c>
      <c r="C82" s="223"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c r="E82" s="4" t="n"/>
    </row>
    <row r="83">
      <c r="A83" s="223" t="inlineStr">
        <is>
          <t>residence</t>
        </is>
      </c>
      <c r="B83" s="223" t="n">
        <v>4</v>
      </c>
      <c r="C83" s="223" t="inlineStr">
        <is>
          <t xml:space="preserve">Internally displaced person [IDP] - you were forced to flee your village or town because of conflict or natural disaster and you are now an internally displaced person in your current place of residence </t>
        </is>
      </c>
      <c r="D83" s="4" t="n"/>
      <c r="E83" s="4" t="n"/>
    </row>
    <row r="84">
      <c r="A84" s="223" t="inlineStr">
        <is>
          <t>residence</t>
        </is>
      </c>
      <c r="B84" s="223" t="n">
        <v>5</v>
      </c>
      <c r="C84" s="223" t="inlineStr">
        <is>
          <t>Refugee - you were forced to flee your country because of conflict or natural disaster and you are now a refugee in your current place of residence</t>
        </is>
      </c>
      <c r="D84" s="4" t="n"/>
      <c r="E84" s="4" t="n"/>
    </row>
    <row r="85">
      <c r="A85" s="223" t="inlineStr">
        <is>
          <t>residence</t>
        </is>
      </c>
      <c r="B85" s="223" t="n">
        <v>6</v>
      </c>
      <c r="C85" s="223" t="inlineStr">
        <is>
          <t>DON'T KNOW</t>
        </is>
      </c>
      <c r="D85" s="4" t="n"/>
      <c r="E85" s="4" t="n"/>
    </row>
    <row r="86">
      <c r="A86" s="223" t="inlineStr">
        <is>
          <t>residence</t>
        </is>
      </c>
      <c r="B86" s="223" t="n">
        <v>7</v>
      </c>
      <c r="C86" s="223" t="inlineStr">
        <is>
          <t>REFUSED</t>
        </is>
      </c>
      <c r="D86" s="4" t="n"/>
      <c r="E86" s="4" t="n"/>
    </row>
    <row r="87">
      <c r="A87" s="13" t="n"/>
      <c r="B87" s="13" t="n"/>
      <c r="C87" s="13" t="n"/>
      <c r="D87" s="4" t="n"/>
      <c r="E87" s="4" t="n"/>
    </row>
    <row r="88">
      <c r="A88" s="223" t="inlineStr">
        <is>
          <t>asset_prod</t>
        </is>
      </c>
      <c r="B88" s="223" t="inlineStr">
        <is>
          <t>process</t>
        </is>
      </c>
      <c r="C88" s="223" t="inlineStr">
        <is>
          <t>Processing assets (e.g. grinding/crushing machine, mill, oil press, fish tanks)</t>
        </is>
      </c>
      <c r="D88" s="4" t="n"/>
      <c r="E88" s="4" t="n"/>
    </row>
    <row r="89">
      <c r="A89" s="223" t="inlineStr">
        <is>
          <t>asset_prod</t>
        </is>
      </c>
      <c r="B89" s="223" t="inlineStr">
        <is>
          <t>farmmach</t>
        </is>
      </c>
      <c r="C89" s="223" t="inlineStr">
        <is>
          <t>Farm or fishing machinery (e.g. tractor, plough, sickle, boats, engines)</t>
        </is>
      </c>
      <c r="D89" s="4" t="n"/>
      <c r="E89" s="4" t="n"/>
    </row>
    <row r="90">
      <c r="A90" s="223" t="inlineStr">
        <is>
          <t>asset_prod</t>
        </is>
      </c>
      <c r="B90" s="223" t="inlineStr">
        <is>
          <t>sewing</t>
        </is>
      </c>
      <c r="C90" s="223" t="inlineStr">
        <is>
          <t>Sewing machine or weaving tool</t>
        </is>
      </c>
      <c r="D90" s="4" t="n"/>
      <c r="E90" s="4" t="n"/>
    </row>
    <row r="91">
      <c r="A91" s="223" t="inlineStr">
        <is>
          <t>asset_prod</t>
        </is>
      </c>
      <c r="B91" s="223" t="inlineStr">
        <is>
          <t>taxi</t>
        </is>
      </c>
      <c r="C91" s="223" t="inlineStr">
        <is>
          <t>Taxi</t>
        </is>
      </c>
      <c r="D91" s="4" t="n"/>
      <c r="E91" s="4" t="n"/>
    </row>
    <row r="92">
      <c r="A92" s="223" t="inlineStr">
        <is>
          <t>asset_prod</t>
        </is>
      </c>
      <c r="B92" s="223" t="inlineStr">
        <is>
          <t>truck</t>
        </is>
      </c>
      <c r="C92" s="223" t="inlineStr">
        <is>
          <t>Truck</t>
        </is>
      </c>
      <c r="D92" s="4" t="n"/>
      <c r="E92" s="4" t="n"/>
    </row>
    <row r="93">
      <c r="A93" s="223" t="inlineStr">
        <is>
          <t>asset_prod</t>
        </is>
      </c>
      <c r="B93" s="223" t="inlineStr">
        <is>
          <t>other</t>
        </is>
      </c>
      <c r="C93" s="223" t="inlineStr">
        <is>
          <t>Other productive machines or assets</t>
        </is>
      </c>
      <c r="D93" s="4" t="n"/>
      <c r="E93" s="4" t="n"/>
    </row>
    <row r="94">
      <c r="A94" s="223" t="inlineStr">
        <is>
          <t>asset_prod</t>
        </is>
      </c>
      <c r="B94" s="223" t="inlineStr">
        <is>
          <t>none</t>
        </is>
      </c>
      <c r="C94" s="223" t="inlineStr">
        <is>
          <t>No productive machines or assets</t>
        </is>
      </c>
      <c r="D94" s="4" t="n"/>
      <c r="E94" s="4" t="n"/>
    </row>
    <row r="95">
      <c r="A95" s="223" t="inlineStr">
        <is>
          <t>asset_prod</t>
        </is>
      </c>
      <c r="B95" s="223" t="inlineStr">
        <is>
          <t>dk</t>
        </is>
      </c>
      <c r="C95" s="223" t="inlineStr">
        <is>
          <t>DON'T KNOW</t>
        </is>
      </c>
      <c r="D95" s="4" t="n"/>
      <c r="E95" s="4" t="n"/>
    </row>
    <row r="96">
      <c r="A96" s="223" t="inlineStr">
        <is>
          <t>asset_prod</t>
        </is>
      </c>
      <c r="B96" s="223" t="inlineStr">
        <is>
          <t>ref</t>
        </is>
      </c>
      <c r="C96" s="223" t="inlineStr">
        <is>
          <t>REFUSED</t>
        </is>
      </c>
      <c r="D96" s="4" t="n"/>
      <c r="E96" s="4" t="n"/>
    </row>
    <row r="97">
      <c r="A97" s="13" t="n"/>
      <c r="B97" s="13" t="n"/>
      <c r="C97" s="13" t="n"/>
      <c r="D97" s="4" t="n"/>
      <c r="E97" s="4" t="n"/>
    </row>
    <row r="98">
      <c r="A98" s="223" t="inlineStr">
        <is>
          <t>asset_transp</t>
        </is>
      </c>
      <c r="B98" s="223" t="inlineStr">
        <is>
          <t>bici</t>
        </is>
      </c>
      <c r="C98" s="223" t="inlineStr">
        <is>
          <t>Bicycle</t>
        </is>
      </c>
      <c r="D98" s="4" t="n"/>
      <c r="E98" s="4" t="n"/>
    </row>
    <row r="99">
      <c r="A99" s="223" t="inlineStr">
        <is>
          <t>asset_transp</t>
        </is>
      </c>
      <c r="B99" s="223" t="inlineStr">
        <is>
          <t>cart</t>
        </is>
      </c>
      <c r="C99" s="223" t="inlineStr">
        <is>
          <t>Cart (animal drawn)</t>
        </is>
      </c>
      <c r="D99" s="4" t="n"/>
      <c r="E99" s="4" t="n"/>
    </row>
    <row r="100">
      <c r="A100" s="223" t="inlineStr">
        <is>
          <t>asset_transp</t>
        </is>
      </c>
      <c r="B100" s="223" t="inlineStr">
        <is>
          <t>boatmotor</t>
        </is>
      </c>
      <c r="C100" s="223" t="inlineStr">
        <is>
          <t>Boat with an engine [inboard or outboard]</t>
        </is>
      </c>
      <c r="D100" s="4" t="n"/>
      <c r="E100" s="4" t="n"/>
    </row>
    <row r="101">
      <c r="A101" s="223" t="inlineStr">
        <is>
          <t>asset_transp</t>
        </is>
      </c>
      <c r="B101" s="223" t="inlineStr">
        <is>
          <t>boatnomotor</t>
        </is>
      </c>
      <c r="C101" s="223" t="inlineStr">
        <is>
          <t>Unmotorized boat [e.g. canoe]</t>
        </is>
      </c>
      <c r="D101" s="4" t="n"/>
      <c r="E101" s="4" t="n"/>
    </row>
    <row r="102">
      <c r="A102" s="223" t="inlineStr">
        <is>
          <t>asset_transp</t>
        </is>
      </c>
      <c r="B102" s="223" t="inlineStr">
        <is>
          <t>motorbike</t>
        </is>
      </c>
      <c r="C102" s="223" t="inlineStr">
        <is>
          <t>Motorbike / scooter / auto rickshaw</t>
        </is>
      </c>
      <c r="D102" s="4" t="n"/>
      <c r="E102" s="4" t="n"/>
    </row>
    <row r="103">
      <c r="A103" s="223" t="inlineStr">
        <is>
          <t>asset_transp</t>
        </is>
      </c>
      <c r="B103" s="223" t="inlineStr">
        <is>
          <t>car</t>
        </is>
      </c>
      <c r="C103" s="223" t="inlineStr">
        <is>
          <t>Car</t>
        </is>
      </c>
      <c r="D103" s="4" t="n"/>
      <c r="E103" s="4" t="n"/>
    </row>
    <row r="104">
      <c r="A104" s="223" t="inlineStr">
        <is>
          <t>asset_transp</t>
        </is>
      </c>
      <c r="B104" s="223" t="inlineStr">
        <is>
          <t>van</t>
        </is>
      </c>
      <c r="C104" s="223" t="inlineStr">
        <is>
          <t>Van or small truck</t>
        </is>
      </c>
      <c r="D104" s="4" t="n"/>
      <c r="E104" s="4" t="n"/>
    </row>
    <row r="105">
      <c r="A105" s="223" t="inlineStr">
        <is>
          <t>asset_transp</t>
        </is>
      </c>
      <c r="B105" s="223" t="inlineStr">
        <is>
          <t>other</t>
        </is>
      </c>
      <c r="C105" s="223" t="inlineStr">
        <is>
          <t>Other motor vehicle</t>
        </is>
      </c>
      <c r="D105" s="4" t="n"/>
      <c r="E105" s="4" t="n"/>
    </row>
    <row r="106">
      <c r="A106" s="223" t="inlineStr">
        <is>
          <t>asset_transp</t>
        </is>
      </c>
      <c r="B106" s="223" t="inlineStr">
        <is>
          <t>none</t>
        </is>
      </c>
      <c r="C106" s="223" t="inlineStr">
        <is>
          <t>None of the above</t>
        </is>
      </c>
      <c r="D106" s="4" t="n"/>
      <c r="E106" s="4" t="n"/>
    </row>
    <row r="107">
      <c r="A107" s="223" t="inlineStr">
        <is>
          <t>asset_transp</t>
        </is>
      </c>
      <c r="B107" s="223" t="inlineStr">
        <is>
          <t>dk</t>
        </is>
      </c>
      <c r="C107" s="223" t="inlineStr">
        <is>
          <t>DON'T KNOW</t>
        </is>
      </c>
      <c r="D107" s="4" t="n"/>
      <c r="E107" s="4" t="n"/>
    </row>
    <row r="108">
      <c r="A108" s="223" t="inlineStr">
        <is>
          <t>asset_transp</t>
        </is>
      </c>
      <c r="B108" s="223" t="inlineStr">
        <is>
          <t>ref</t>
        </is>
      </c>
      <c r="C108" s="223" t="inlineStr">
        <is>
          <t>REFUSED</t>
        </is>
      </c>
      <c r="D108" s="4" t="n"/>
      <c r="E108" s="4" t="n"/>
    </row>
    <row r="109">
      <c r="A109" s="13" t="n"/>
      <c r="B109" s="13" t="n"/>
      <c r="C109" s="13" t="n"/>
      <c r="D109" s="4" t="n"/>
      <c r="E109" s="4" t="n"/>
    </row>
    <row r="110">
      <c r="A110" s="223" t="inlineStr">
        <is>
          <t>maritalstat</t>
        </is>
      </c>
      <c r="B110" s="223" t="n">
        <v>1</v>
      </c>
      <c r="C110" s="223" t="inlineStr">
        <is>
          <t xml:space="preserve">Single / never married </t>
        </is>
      </c>
      <c r="D110" s="4" t="n"/>
      <c r="E110" s="4" t="n"/>
    </row>
    <row r="111">
      <c r="A111" s="223" t="inlineStr">
        <is>
          <t>maritalstat</t>
        </is>
      </c>
      <c r="B111" s="223" t="n">
        <v>2</v>
      </c>
      <c r="C111" s="223" t="inlineStr">
        <is>
          <t>Married</t>
        </is>
      </c>
      <c r="D111" s="4" t="n"/>
      <c r="E111" s="4" t="n"/>
    </row>
    <row r="112">
      <c r="A112" s="223" t="inlineStr">
        <is>
          <t>maritalstat</t>
        </is>
      </c>
      <c r="B112" s="223" t="n">
        <v>3</v>
      </c>
      <c r="C112" s="223" t="inlineStr">
        <is>
          <t>Separated</t>
        </is>
      </c>
      <c r="D112" s="4" t="n"/>
      <c r="E112" s="4" t="n"/>
    </row>
    <row r="113">
      <c r="A113" s="223" t="inlineStr">
        <is>
          <t>maritalstat</t>
        </is>
      </c>
      <c r="B113" s="223" t="n">
        <v>4</v>
      </c>
      <c r="C113" s="223" t="inlineStr">
        <is>
          <t>Divorced</t>
        </is>
      </c>
      <c r="D113" s="4" t="n"/>
      <c r="E113" s="4" t="n"/>
    </row>
    <row r="114">
      <c r="A114" s="223" t="inlineStr">
        <is>
          <t>maritalstat</t>
        </is>
      </c>
      <c r="B114" s="223" t="n">
        <v>5</v>
      </c>
      <c r="C114" s="223" t="inlineStr">
        <is>
          <t>Widowed</t>
        </is>
      </c>
      <c r="D114" s="4" t="n"/>
      <c r="E114" s="4" t="n"/>
    </row>
    <row r="115">
      <c r="A115" s="223" t="inlineStr">
        <is>
          <t>maritalstat</t>
        </is>
      </c>
      <c r="B115" s="223" t="n">
        <v>6</v>
      </c>
      <c r="C115" s="223" t="inlineStr">
        <is>
          <t>DON’T KNOW</t>
        </is>
      </c>
      <c r="D115" s="4" t="n"/>
      <c r="E115" s="4" t="n"/>
    </row>
    <row r="116">
      <c r="A116" s="223" t="inlineStr">
        <is>
          <t>maritalstat</t>
        </is>
      </c>
      <c r="B116" s="223" t="n">
        <v>7</v>
      </c>
      <c r="C116" s="223" t="inlineStr">
        <is>
          <t xml:space="preserve">REFUSED </t>
        </is>
      </c>
      <c r="D116" s="4" t="n"/>
      <c r="E116" s="4" t="n"/>
    </row>
    <row r="117">
      <c r="A117" s="13" t="n"/>
      <c r="B117" s="13" t="n"/>
      <c r="C117" s="13" t="n"/>
      <c r="D117" s="4" t="n"/>
      <c r="E117" s="4" t="n"/>
    </row>
    <row r="118">
      <c r="A118" s="223" t="inlineStr">
        <is>
          <t>agegroup</t>
        </is>
      </c>
      <c r="B118" s="223" t="n">
        <v>1</v>
      </c>
      <c r="C118" s="223" t="inlineStr">
        <is>
          <t>Under 18</t>
        </is>
      </c>
      <c r="D118" s="4" t="n"/>
      <c r="E118" s="4" t="n"/>
    </row>
    <row r="119">
      <c r="A119" s="223" t="inlineStr">
        <is>
          <t>agegroup</t>
        </is>
      </c>
      <c r="B119" s="223" t="n">
        <v>2</v>
      </c>
      <c r="C119" s="223" t="inlineStr">
        <is>
          <t>18 to 40</t>
        </is>
      </c>
      <c r="D119" s="4" t="n"/>
      <c r="E119" s="4" t="n"/>
    </row>
    <row r="120">
      <c r="A120" s="223" t="inlineStr">
        <is>
          <t>agegroup</t>
        </is>
      </c>
      <c r="B120" s="223" t="n">
        <v>3</v>
      </c>
      <c r="C120" s="223" t="inlineStr">
        <is>
          <t>41 to 65</t>
        </is>
      </c>
      <c r="D120" s="4" t="n"/>
      <c r="E120" s="4" t="n"/>
    </row>
    <row r="121">
      <c r="A121" s="223" t="inlineStr">
        <is>
          <t>agegroup</t>
        </is>
      </c>
      <c r="B121" s="223" t="n">
        <v>4</v>
      </c>
      <c r="C121" s="223" t="inlineStr">
        <is>
          <t>Over 65</t>
        </is>
      </c>
      <c r="D121" s="4" t="n"/>
      <c r="E121" s="4" t="n"/>
    </row>
    <row r="122">
      <c r="A122" s="223" t="inlineStr">
        <is>
          <t>agegroup</t>
        </is>
      </c>
      <c r="B122" s="223" t="n">
        <v>5</v>
      </c>
      <c r="C122" s="223" t="inlineStr">
        <is>
          <t>DON'T KNOW</t>
        </is>
      </c>
      <c r="D122" s="4" t="n"/>
      <c r="E122" s="4" t="n"/>
    </row>
    <row r="123">
      <c r="A123" s="223" t="inlineStr">
        <is>
          <t>agegroup</t>
        </is>
      </c>
      <c r="B123" s="223" t="n">
        <v>6</v>
      </c>
      <c r="C123" s="223" t="inlineStr">
        <is>
          <t>REFUSED</t>
        </is>
      </c>
      <c r="D123" s="4" t="n"/>
      <c r="E123" s="4" t="n"/>
    </row>
    <row r="124">
      <c r="A124" s="13" t="n"/>
      <c r="B124" s="13" t="n"/>
      <c r="C124" s="13" t="n"/>
      <c r="D124" s="4" t="n"/>
      <c r="E124" s="4" t="n"/>
    </row>
    <row r="125">
      <c r="A125" t="inlineStr">
        <is>
          <t>incomesource1</t>
        </is>
      </c>
      <c r="B125" t="n">
        <v>1</v>
      </c>
      <c r="C125" t="inlineStr">
        <is>
          <t>Production and sale of staple crops</t>
        </is>
      </c>
      <c r="D125" s="4" t="n"/>
      <c r="E125" s="4" t="n"/>
    </row>
    <row r="126">
      <c r="A126" t="inlineStr">
        <is>
          <t>incomesource1</t>
        </is>
      </c>
      <c r="B126" t="n">
        <v>2</v>
      </c>
      <c r="C126" t="inlineStr">
        <is>
          <t xml:space="preserve">Production and sale of vegetables or fruit </t>
        </is>
      </c>
      <c r="D126" s="4" t="n"/>
      <c r="E126" s="4" t="n"/>
    </row>
    <row r="127">
      <c r="A127" t="inlineStr">
        <is>
          <t>incomesource1</t>
        </is>
      </c>
      <c r="B127" t="n">
        <v>3</v>
      </c>
      <c r="C127" t="inlineStr">
        <is>
          <t>Production and sale of cashcrops</t>
        </is>
      </c>
      <c r="D127" s="4" t="n"/>
      <c r="E127" s="4" t="n"/>
    </row>
    <row r="128">
      <c r="A128" t="inlineStr">
        <is>
          <t>incomesource1</t>
        </is>
      </c>
      <c r="B128" t="n">
        <v>4</v>
      </c>
      <c r="C128" t="inlineStr">
        <is>
          <t xml:space="preserve">Production and sale of livestock or livestock products </t>
        </is>
      </c>
      <c r="D128" s="4" t="n"/>
      <c r="E128" s="4" t="n"/>
    </row>
    <row r="129">
      <c r="A129" t="inlineStr">
        <is>
          <t>incomesource1</t>
        </is>
      </c>
      <c r="B129" t="n">
        <v>5</v>
      </c>
      <c r="C129" t="inlineStr">
        <is>
          <t>Production and sale of honey and bee products</t>
        </is>
      </c>
      <c r="D129" s="4" t="n"/>
      <c r="E129" s="4" t="n"/>
    </row>
    <row r="130">
      <c r="A130" t="inlineStr">
        <is>
          <t>incomesource1</t>
        </is>
      </c>
      <c r="B130" t="n">
        <v>6</v>
      </c>
      <c r="C130" t="inlineStr">
        <is>
          <t>Production and sale of fish or aquatic products</t>
        </is>
      </c>
      <c r="D130" s="4" t="n"/>
      <c r="E130" s="4" t="n"/>
    </row>
    <row r="131">
      <c r="A131" t="inlineStr">
        <is>
          <t>incomesource1</t>
        </is>
      </c>
      <c r="B131" t="n">
        <v>7</v>
      </c>
      <c r="C131" t="inlineStr">
        <is>
          <t>Collection and sale of natural resources (including forestry or bush products)</t>
        </is>
      </c>
      <c r="D131" s="4" t="n"/>
      <c r="E131" s="4" t="n"/>
    </row>
    <row r="132">
      <c r="A132" t="inlineStr">
        <is>
          <t>incomesource1</t>
        </is>
      </c>
      <c r="B132" t="n">
        <v>8</v>
      </c>
      <c r="C132" t="inlineStr">
        <is>
          <t>Agricultural trade EXCLUDING producers (formal or informal)</t>
        </is>
      </c>
      <c r="D132" s="4" t="n"/>
      <c r="E132" s="4" t="n"/>
    </row>
    <row r="133">
      <c r="A133" t="inlineStr">
        <is>
          <t>incomesource1</t>
        </is>
      </c>
      <c r="B133" t="n">
        <v>9</v>
      </c>
      <c r="C133" t="inlineStr">
        <is>
          <t xml:space="preserve">Daily wage on farms and other casual employment in agricultural sector </t>
        </is>
      </c>
      <c r="D133" s="4" t="n"/>
      <c r="E133" s="4" t="n"/>
    </row>
    <row r="134">
      <c r="A134" t="inlineStr">
        <is>
          <t>incomesource1</t>
        </is>
      </c>
      <c r="B134" t="n">
        <v>10</v>
      </c>
      <c r="C134" t="inlineStr">
        <is>
          <t xml:space="preserve">Stable employment in agricultural sector </t>
        </is>
      </c>
      <c r="D134" s="4" t="n"/>
      <c r="E134" s="4" t="n"/>
    </row>
    <row r="135">
      <c r="A135" t="inlineStr">
        <is>
          <t>incomesource1</t>
        </is>
      </c>
      <c r="B135" t="n">
        <v>11</v>
      </c>
      <c r="C135" t="inlineStr">
        <is>
          <t>Non-agricultural self-employed or liberal profession, doctor, architect, lawyer, including restaurant</t>
        </is>
      </c>
      <c r="D135" s="4" t="n"/>
      <c r="E135" s="4" t="n"/>
    </row>
    <row r="136">
      <c r="A136" t="inlineStr">
        <is>
          <t>incomesource1</t>
        </is>
      </c>
      <c r="B136" t="n">
        <v>12</v>
      </c>
      <c r="C136" t="inlineStr">
        <is>
          <t>Off-farm daily wages and other non-agricultural casual employment</t>
        </is>
      </c>
      <c r="D136" s="4" t="n"/>
      <c r="E136" s="4" t="n"/>
    </row>
    <row r="137">
      <c r="A137" t="inlineStr">
        <is>
          <t>incomesource1</t>
        </is>
      </c>
      <c r="B137" t="n">
        <v>13</v>
      </c>
      <c r="C137" t="inlineStr">
        <is>
          <t>Stable employment in non-agricultural sector</t>
        </is>
      </c>
      <c r="D137" s="4" t="n"/>
      <c r="E137" s="4" t="n"/>
    </row>
    <row r="138">
      <c r="A138" t="inlineStr">
        <is>
          <t>incomesource1</t>
        </is>
      </c>
      <c r="B138" t="n">
        <v>14</v>
      </c>
      <c r="C138" t="inlineStr">
        <is>
          <t xml:space="preserve">Public employment </t>
        </is>
      </c>
      <c r="D138" s="4" t="n"/>
      <c r="E138" s="4" t="n"/>
    </row>
    <row r="139">
      <c r="A139" t="inlineStr">
        <is>
          <t>incomesource1</t>
        </is>
      </c>
      <c r="B139" t="n">
        <v>15</v>
      </c>
      <c r="C139" t="inlineStr">
        <is>
          <t>Income not derived from work / Charity</t>
        </is>
      </c>
      <c r="D139" s="4" t="n"/>
      <c r="E139" s="4" t="n"/>
    </row>
    <row r="140">
      <c r="A140" t="inlineStr">
        <is>
          <t>incomesource1</t>
        </is>
      </c>
      <c r="B140" t="n">
        <v>16</v>
      </c>
      <c r="C140" t="inlineStr">
        <is>
          <t>Income not derived from work / Welfare transfer, pension, humanitarian aid</t>
        </is>
      </c>
      <c r="D140" s="4" t="n"/>
      <c r="E140" s="4" t="n"/>
    </row>
    <row r="141">
      <c r="A141" t="inlineStr">
        <is>
          <t>incomesource1</t>
        </is>
      </c>
      <c r="B141" t="n">
        <v>17</v>
      </c>
      <c r="C141" t="inlineStr">
        <is>
          <t>Income not derived from work / Remittances</t>
        </is>
      </c>
      <c r="D141" s="4" t="n"/>
      <c r="E141" s="4" t="n"/>
    </row>
    <row r="142">
      <c r="A142" t="inlineStr">
        <is>
          <t>incomesource1</t>
        </is>
      </c>
      <c r="B142" t="n">
        <v>18</v>
      </c>
      <c r="C142" t="inlineStr">
        <is>
          <t xml:space="preserve">Income not derived from work / Income from other rents                                                                                                                                              </t>
        </is>
      </c>
      <c r="D142" s="4" t="n"/>
      <c r="E142" s="4" t="n"/>
    </row>
    <row r="143">
      <c r="A143" t="inlineStr">
        <is>
          <t>incomesource1</t>
        </is>
      </c>
      <c r="B143" t="n">
        <v>19</v>
      </c>
      <c r="C143" t="inlineStr">
        <is>
          <t>No income source in the last 3 months and used exclusively savings / debts</t>
        </is>
      </c>
      <c r="D143" s="4" t="n"/>
      <c r="E143" s="4" t="n"/>
    </row>
    <row r="144">
      <c r="A144" t="inlineStr">
        <is>
          <t>incomesource1</t>
        </is>
      </c>
      <c r="B144" t="n">
        <v>20</v>
      </c>
      <c r="C144" t="inlineStr">
        <is>
          <t>REFUSED</t>
        </is>
      </c>
      <c r="D144" s="4" t="n"/>
      <c r="E144" s="4" t="n"/>
    </row>
    <row r="145">
      <c r="D145" s="4" t="n"/>
      <c r="E145" s="4" t="n"/>
    </row>
    <row r="146">
      <c r="A146" t="inlineStr">
        <is>
          <t>gender_inc_1</t>
        </is>
      </c>
      <c r="B146" t="n">
        <v>1</v>
      </c>
      <c r="C146" t="inlineStr">
        <is>
          <t>Male</t>
        </is>
      </c>
      <c r="D146" s="4" t="n"/>
      <c r="E146" s="4" t="n"/>
    </row>
    <row r="147">
      <c r="A147" t="inlineStr">
        <is>
          <t>gender_inc_1</t>
        </is>
      </c>
      <c r="B147" t="n">
        <v>2</v>
      </c>
      <c r="C147" t="inlineStr">
        <is>
          <t>Female</t>
        </is>
      </c>
      <c r="D147" s="4" t="n"/>
      <c r="E147" s="4" t="n"/>
    </row>
    <row r="148">
      <c r="A148" t="inlineStr">
        <is>
          <t>gender_inc_1</t>
        </is>
      </c>
      <c r="B148" t="n">
        <v>3</v>
      </c>
      <c r="C148" t="inlineStr">
        <is>
          <t>Joint (both male &amp; female)</t>
        </is>
      </c>
      <c r="D148" s="4" t="n"/>
      <c r="E148" s="4" t="n"/>
    </row>
    <row r="149">
      <c r="A149" t="inlineStr">
        <is>
          <t>gender_inc_1</t>
        </is>
      </c>
      <c r="B149" t="n">
        <v>4</v>
      </c>
      <c r="C149" t="inlineStr">
        <is>
          <t>DON'T KNOW</t>
        </is>
      </c>
      <c r="D149" s="4" t="n"/>
      <c r="E149" s="4" t="n"/>
    </row>
    <row r="150">
      <c r="A150" t="inlineStr">
        <is>
          <t>gender_inc_1</t>
        </is>
      </c>
      <c r="B150" t="n">
        <v>5</v>
      </c>
      <c r="C150" t="inlineStr">
        <is>
          <t>REFUSED</t>
        </is>
      </c>
      <c r="D150" s="4" t="n"/>
      <c r="E150" s="4" t="n"/>
    </row>
    <row r="151">
      <c r="D151" s="4" t="n"/>
      <c r="E151" s="4" t="n"/>
    </row>
    <row r="152">
      <c r="A152" t="inlineStr">
        <is>
          <t>gender_inc_2</t>
        </is>
      </c>
      <c r="B152" t="n">
        <v>1</v>
      </c>
      <c r="C152" t="inlineStr">
        <is>
          <t>Male household member(s)</t>
        </is>
      </c>
      <c r="D152" s="4" t="n"/>
      <c r="E152" s="4" t="n"/>
    </row>
    <row r="153">
      <c r="A153" t="inlineStr">
        <is>
          <t>gender_inc_2</t>
        </is>
      </c>
      <c r="B153" t="n">
        <v>2</v>
      </c>
      <c r="C153" t="inlineStr">
        <is>
          <t>Female household member(s)</t>
        </is>
      </c>
      <c r="D153" s="4" t="n"/>
      <c r="E153" s="4" t="n"/>
    </row>
    <row r="154">
      <c r="A154" t="inlineStr">
        <is>
          <t>gender_inc_2</t>
        </is>
      </c>
      <c r="B154" t="n">
        <v>3</v>
      </c>
      <c r="C154" t="inlineStr">
        <is>
          <t>Joint household members (both female &amp; male)</t>
        </is>
      </c>
      <c r="D154" s="4" t="n"/>
      <c r="E154" s="4" t="n"/>
    </row>
    <row r="155">
      <c r="A155" t="inlineStr">
        <is>
          <t>gender_inc_2</t>
        </is>
      </c>
      <c r="B155" t="n">
        <v>4</v>
      </c>
      <c r="C155" t="inlineStr">
        <is>
          <t>DON'T KNOW</t>
        </is>
      </c>
      <c r="D155" s="4" t="n"/>
      <c r="E155" s="4" t="n"/>
    </row>
    <row r="156">
      <c r="A156" t="inlineStr">
        <is>
          <t>gender_inc_2</t>
        </is>
      </c>
      <c r="B156" t="n">
        <v>5</v>
      </c>
      <c r="C156" t="inlineStr">
        <is>
          <t>REFUSED</t>
        </is>
      </c>
      <c r="D156" s="4" t="n"/>
      <c r="E156" s="4" t="n"/>
    </row>
    <row r="157">
      <c r="D157" s="4" t="n"/>
      <c r="E157" s="4" t="n"/>
    </row>
    <row r="158">
      <c r="A158" t="inlineStr">
        <is>
          <t>change</t>
        </is>
      </c>
      <c r="B158" t="n">
        <v>1</v>
      </c>
      <c r="C158" t="inlineStr">
        <is>
          <t>A lot more [increased by more than 50%]</t>
        </is>
      </c>
      <c r="D158" s="4" t="n"/>
      <c r="E158" s="4" t="n"/>
    </row>
    <row r="159">
      <c r="A159" t="inlineStr">
        <is>
          <t>change</t>
        </is>
      </c>
      <c r="B159" t="n">
        <v>2</v>
      </c>
      <c r="C159" t="inlineStr">
        <is>
          <t>Slightly more</t>
        </is>
      </c>
      <c r="D159" s="4" t="n"/>
      <c r="E159" s="4" t="n"/>
    </row>
    <row r="160">
      <c r="A160" t="inlineStr">
        <is>
          <t>change</t>
        </is>
      </c>
      <c r="B160" t="n">
        <v>3</v>
      </c>
      <c r="C160" t="inlineStr">
        <is>
          <t>Same</t>
        </is>
      </c>
      <c r="D160" s="4" t="n"/>
      <c r="E160" s="4" t="n"/>
    </row>
    <row r="161">
      <c r="A161" t="inlineStr">
        <is>
          <t>change</t>
        </is>
      </c>
      <c r="B161" t="n">
        <v>4</v>
      </c>
      <c r="C161" t="inlineStr">
        <is>
          <t>Slightly less</t>
        </is>
      </c>
      <c r="D161" s="4" t="n"/>
      <c r="E161" s="4" t="n"/>
    </row>
    <row r="162">
      <c r="A162" t="inlineStr">
        <is>
          <t>change</t>
        </is>
      </c>
      <c r="B162" t="n">
        <v>5</v>
      </c>
      <c r="C162" t="inlineStr">
        <is>
          <t xml:space="preserve">A lot less [less than half as much] </t>
        </is>
      </c>
      <c r="D162" s="4" t="n"/>
      <c r="E162" s="4" t="n"/>
    </row>
    <row r="163">
      <c r="A163" t="inlineStr">
        <is>
          <t>change</t>
        </is>
      </c>
      <c r="B163" s="221" t="n">
        <v>6</v>
      </c>
      <c r="C163" t="inlineStr">
        <is>
          <t>DON'T KNOW</t>
        </is>
      </c>
      <c r="D163" s="4" t="n"/>
      <c r="E163" s="4" t="n"/>
    </row>
    <row r="164">
      <c r="A164" t="inlineStr">
        <is>
          <t>change</t>
        </is>
      </c>
      <c r="B164" s="221" t="n">
        <v>7</v>
      </c>
      <c r="C164" t="inlineStr">
        <is>
          <t>REFUSED</t>
        </is>
      </c>
      <c r="D164" s="4" t="n"/>
      <c r="E164" s="4" t="n"/>
    </row>
    <row r="165">
      <c r="D165" s="4" t="n"/>
      <c r="E165" s="4" t="n"/>
    </row>
    <row r="166" customFormat="1" s="14">
      <c r="A166" s="222" t="inlineStr">
        <is>
          <t>incomesource2</t>
        </is>
      </c>
      <c r="B166" t="n">
        <v>1</v>
      </c>
      <c r="C166" t="inlineStr">
        <is>
          <t>Production and sale of staple crops</t>
        </is>
      </c>
      <c r="D166" s="5" t="n"/>
      <c r="E166" s="5" t="n"/>
    </row>
    <row r="167" customFormat="1" s="14">
      <c r="A167" s="222" t="inlineStr">
        <is>
          <t>incomesource2</t>
        </is>
      </c>
      <c r="B167" t="n">
        <v>2</v>
      </c>
      <c r="C167" t="inlineStr">
        <is>
          <t xml:space="preserve">Production and sale of vegetables or fruit </t>
        </is>
      </c>
      <c r="D167" s="5" t="n"/>
      <c r="E167" s="5" t="n"/>
    </row>
    <row r="168" customFormat="1" s="14">
      <c r="A168" s="222" t="inlineStr">
        <is>
          <t>incomesource2</t>
        </is>
      </c>
      <c r="B168" t="n">
        <v>3</v>
      </c>
      <c r="C168" t="inlineStr">
        <is>
          <t>Production and sale of cashcrops</t>
        </is>
      </c>
      <c r="D168" s="5" t="n"/>
      <c r="E168" s="5" t="n"/>
    </row>
    <row r="169" customFormat="1" s="14">
      <c r="A169" s="222" t="inlineStr">
        <is>
          <t>incomesource2</t>
        </is>
      </c>
      <c r="B169" t="n">
        <v>4</v>
      </c>
      <c r="C169" t="inlineStr">
        <is>
          <t xml:space="preserve">Production and sale of livestock or livestock products </t>
        </is>
      </c>
      <c r="D169" s="5" t="n"/>
      <c r="E169" s="5" t="n"/>
    </row>
    <row r="170" customFormat="1" s="14">
      <c r="A170" s="222" t="inlineStr">
        <is>
          <t>incomesource2</t>
        </is>
      </c>
      <c r="B170" t="n">
        <v>5</v>
      </c>
      <c r="C170" t="inlineStr">
        <is>
          <t>Production and sale of honey and bee products</t>
        </is>
      </c>
      <c r="D170" s="5" t="n"/>
      <c r="E170" s="5" t="n"/>
    </row>
    <row r="171" customFormat="1" s="14">
      <c r="A171" s="222" t="inlineStr">
        <is>
          <t>incomesource2</t>
        </is>
      </c>
      <c r="B171" t="n">
        <v>6</v>
      </c>
      <c r="C171" t="inlineStr">
        <is>
          <t>Production and sale of fish or aquatic products</t>
        </is>
      </c>
      <c r="D171" s="5" t="n"/>
      <c r="E171" s="5" t="n"/>
    </row>
    <row r="172" customFormat="1" s="14">
      <c r="A172" s="222" t="inlineStr">
        <is>
          <t>incomesource2</t>
        </is>
      </c>
      <c r="B172" t="n">
        <v>7</v>
      </c>
      <c r="C172" t="inlineStr">
        <is>
          <t>Collection and sale of natural resources (including forestry or bush products)</t>
        </is>
      </c>
      <c r="D172" s="5" t="n"/>
      <c r="E172" s="5" t="n"/>
    </row>
    <row r="173" customFormat="1" s="14">
      <c r="A173" s="222" t="inlineStr">
        <is>
          <t>incomesource2</t>
        </is>
      </c>
      <c r="B173" t="n">
        <v>8</v>
      </c>
      <c r="C173" t="inlineStr">
        <is>
          <t>Agricultural trade EXCLUDING producers (formal or informal)</t>
        </is>
      </c>
      <c r="D173" s="5" t="n"/>
      <c r="E173" s="5" t="n"/>
    </row>
    <row r="174" customFormat="1" s="14">
      <c r="A174" s="222" t="inlineStr">
        <is>
          <t>incomesource2</t>
        </is>
      </c>
      <c r="B174" t="n">
        <v>9</v>
      </c>
      <c r="C174" t="inlineStr">
        <is>
          <t xml:space="preserve">Daily wage on farms and other casual employment in agricultural sector </t>
        </is>
      </c>
      <c r="D174" s="5" t="n"/>
      <c r="E174" s="5" t="n"/>
    </row>
    <row r="175" customFormat="1" s="14">
      <c r="A175" s="222" t="inlineStr">
        <is>
          <t>incomesource2</t>
        </is>
      </c>
      <c r="B175" t="n">
        <v>10</v>
      </c>
      <c r="C175" t="inlineStr">
        <is>
          <t xml:space="preserve">Stable employment in agricultural sector </t>
        </is>
      </c>
      <c r="D175" s="5" t="n"/>
      <c r="E175" s="5" t="n"/>
    </row>
    <row r="176" customFormat="1" s="14">
      <c r="A176" s="222" t="inlineStr">
        <is>
          <t>incomesource2</t>
        </is>
      </c>
      <c r="B176" t="n">
        <v>11</v>
      </c>
      <c r="C176" t="inlineStr">
        <is>
          <t>Non-agricultural self-employed or liberal profession, doctor, architect, lawyer, including restaurant</t>
        </is>
      </c>
      <c r="D176" s="5" t="n"/>
      <c r="E176" s="5" t="n"/>
    </row>
    <row r="177" customFormat="1" s="14">
      <c r="A177" s="222" t="inlineStr">
        <is>
          <t>incomesource2</t>
        </is>
      </c>
      <c r="B177" t="n">
        <v>12</v>
      </c>
      <c r="C177" t="inlineStr">
        <is>
          <t>Off-farm daily wages and other non-agricultural casual employment</t>
        </is>
      </c>
      <c r="D177" s="5" t="n"/>
      <c r="E177" s="5" t="n"/>
    </row>
    <row r="178" customFormat="1" s="14">
      <c r="A178" s="222" t="inlineStr">
        <is>
          <t>incomesource2</t>
        </is>
      </c>
      <c r="B178" t="n">
        <v>13</v>
      </c>
      <c r="C178" t="inlineStr">
        <is>
          <t>Stable employment in non-agricultural sector</t>
        </is>
      </c>
      <c r="D178" s="5" t="n"/>
      <c r="E178" s="5" t="n"/>
    </row>
    <row r="179" customFormat="1" s="14">
      <c r="A179" s="222" t="inlineStr">
        <is>
          <t>incomesource2</t>
        </is>
      </c>
      <c r="B179" t="n">
        <v>14</v>
      </c>
      <c r="C179" t="inlineStr">
        <is>
          <t xml:space="preserve">Public employment </t>
        </is>
      </c>
      <c r="D179" s="5" t="n"/>
      <c r="E179" s="5" t="n"/>
    </row>
    <row r="180" customFormat="1" s="14">
      <c r="A180" s="222" t="inlineStr">
        <is>
          <t>incomesource2</t>
        </is>
      </c>
      <c r="B180" s="222" t="n">
        <v>15</v>
      </c>
      <c r="C180" s="222" t="inlineStr">
        <is>
          <t>Income not derived from work / Charity</t>
        </is>
      </c>
      <c r="D180" s="5" t="n"/>
      <c r="E180" s="5" t="n"/>
    </row>
    <row r="181" customFormat="1" s="14">
      <c r="A181" s="222" t="inlineStr">
        <is>
          <t>incomesource2</t>
        </is>
      </c>
      <c r="B181" s="222" t="n">
        <v>16</v>
      </c>
      <c r="C181" s="222" t="inlineStr">
        <is>
          <t>Income not derived from work / Welfare transfer, pension, humanitarian aid</t>
        </is>
      </c>
      <c r="D181" s="5" t="n"/>
      <c r="E181" s="5" t="n"/>
    </row>
    <row r="182" customFormat="1" s="14">
      <c r="A182" s="222" t="inlineStr">
        <is>
          <t>incomesource2</t>
        </is>
      </c>
      <c r="B182" s="222" t="n">
        <v>17</v>
      </c>
      <c r="C182" s="222" t="inlineStr">
        <is>
          <t>Income not derived from work / Remittances</t>
        </is>
      </c>
      <c r="D182" s="5" t="n"/>
      <c r="E182" s="5" t="n"/>
    </row>
    <row r="183" customFormat="1" s="14">
      <c r="A183" s="222" t="inlineStr">
        <is>
          <t>incomesource2</t>
        </is>
      </c>
      <c r="B183" s="222" t="n">
        <v>18</v>
      </c>
      <c r="C183" s="222" t="inlineStr">
        <is>
          <t>Income not derived from work / Income from other rents</t>
        </is>
      </c>
      <c r="D183" s="5" t="n"/>
      <c r="E183" s="5" t="n"/>
    </row>
    <row r="184" customFormat="1" s="14">
      <c r="A184" s="222" t="inlineStr">
        <is>
          <t>incomesource2</t>
        </is>
      </c>
      <c r="B184" s="222" t="n">
        <v>19</v>
      </c>
      <c r="C184" s="222" t="inlineStr">
        <is>
          <t>No second most important source of income</t>
        </is>
      </c>
      <c r="D184" s="5" t="n"/>
      <c r="E184" s="5" t="n"/>
    </row>
    <row r="185" customFormat="1" s="14">
      <c r="A185" s="222" t="inlineStr">
        <is>
          <t>incomesource2</t>
        </is>
      </c>
      <c r="B185" s="221" t="n">
        <v>20</v>
      </c>
      <c r="C185" s="222" t="inlineStr">
        <is>
          <t>DON'T KNOW</t>
        </is>
      </c>
      <c r="D185" s="5" t="n"/>
      <c r="E185" s="5" t="n"/>
    </row>
    <row r="186" customFormat="1" s="14">
      <c r="A186" s="222" t="inlineStr">
        <is>
          <t>incomesource2</t>
        </is>
      </c>
      <c r="B186" s="221" t="n">
        <v>21</v>
      </c>
      <c r="C186" s="222" t="inlineStr">
        <is>
          <t>REFUSED</t>
        </is>
      </c>
      <c r="D186" s="5" t="n"/>
      <c r="E186" s="5" t="n"/>
    </row>
    <row r="187" customFormat="1" s="14">
      <c r="D187" s="5" t="n"/>
      <c r="E187" s="5" t="n"/>
    </row>
    <row r="188" customFormat="1" s="14">
      <c r="A188" s="222" t="inlineStr">
        <is>
          <t>incomesource3</t>
        </is>
      </c>
      <c r="B188" t="n">
        <v>1</v>
      </c>
      <c r="C188" t="inlineStr">
        <is>
          <t>Production and sale of staple crops</t>
        </is>
      </c>
      <c r="D188" s="5" t="n"/>
      <c r="E188" s="5" t="n"/>
    </row>
    <row r="189" customFormat="1" s="14">
      <c r="A189" s="222" t="inlineStr">
        <is>
          <t>incomesource3</t>
        </is>
      </c>
      <c r="B189" t="n">
        <v>2</v>
      </c>
      <c r="C189" t="inlineStr">
        <is>
          <t xml:space="preserve">Production and sale of vegetables or fruit </t>
        </is>
      </c>
      <c r="D189" s="5" t="n"/>
      <c r="E189" s="5" t="n"/>
    </row>
    <row r="190" customFormat="1" s="14">
      <c r="A190" s="222" t="inlineStr">
        <is>
          <t>incomesource3</t>
        </is>
      </c>
      <c r="B190" t="n">
        <v>3</v>
      </c>
      <c r="C190" t="inlineStr">
        <is>
          <t>Production and sale of cashcrops</t>
        </is>
      </c>
      <c r="D190" s="5" t="n"/>
      <c r="E190" s="5" t="n"/>
    </row>
    <row r="191" customFormat="1" s="14">
      <c r="A191" s="222" t="inlineStr">
        <is>
          <t>incomesource3</t>
        </is>
      </c>
      <c r="B191" t="n">
        <v>4</v>
      </c>
      <c r="C191" t="inlineStr">
        <is>
          <t xml:space="preserve">Production and sale of livestock or livestock products </t>
        </is>
      </c>
      <c r="D191" s="5" t="n"/>
      <c r="E191" s="5" t="n"/>
    </row>
    <row r="192" customFormat="1" s="14">
      <c r="A192" s="222" t="inlineStr">
        <is>
          <t>incomesource3</t>
        </is>
      </c>
      <c r="B192" t="n">
        <v>5</v>
      </c>
      <c r="C192" t="inlineStr">
        <is>
          <t>Production and sale of honey and bee products</t>
        </is>
      </c>
      <c r="D192" s="5" t="n"/>
      <c r="E192" s="5" t="n"/>
    </row>
    <row r="193" customFormat="1" s="14">
      <c r="A193" s="222" t="inlineStr">
        <is>
          <t>incomesource3</t>
        </is>
      </c>
      <c r="B193" t="n">
        <v>6</v>
      </c>
      <c r="C193" t="inlineStr">
        <is>
          <t>Production and sale of fish or aquatic products</t>
        </is>
      </c>
      <c r="D193" s="5" t="n"/>
      <c r="E193" s="5" t="n"/>
    </row>
    <row r="194" customFormat="1" s="14">
      <c r="A194" s="222" t="inlineStr">
        <is>
          <t>incomesource3</t>
        </is>
      </c>
      <c r="B194" t="n">
        <v>7</v>
      </c>
      <c r="C194" t="inlineStr">
        <is>
          <t>Collection and sale of natural resources (including forestry or bush products)</t>
        </is>
      </c>
      <c r="D194" s="5" t="n"/>
      <c r="E194" s="5" t="n"/>
    </row>
    <row r="195" customFormat="1" s="14">
      <c r="A195" s="222" t="inlineStr">
        <is>
          <t>incomesource3</t>
        </is>
      </c>
      <c r="B195" t="n">
        <v>8</v>
      </c>
      <c r="C195" t="inlineStr">
        <is>
          <t>Agricultural trade EXCLUDING producers (formal or informal)</t>
        </is>
      </c>
      <c r="D195" s="5" t="n"/>
      <c r="E195" s="5" t="n"/>
    </row>
    <row r="196" customFormat="1" s="14">
      <c r="A196" s="222" t="inlineStr">
        <is>
          <t>incomesource3</t>
        </is>
      </c>
      <c r="B196" t="n">
        <v>9</v>
      </c>
      <c r="C196" t="inlineStr">
        <is>
          <t xml:space="preserve">Daily wage on farms and other casual employment in agricultural sector </t>
        </is>
      </c>
      <c r="D196" s="5" t="n"/>
      <c r="E196" s="5" t="n"/>
    </row>
    <row r="197" customFormat="1" s="14">
      <c r="A197" s="222" t="inlineStr">
        <is>
          <t>incomesource3</t>
        </is>
      </c>
      <c r="B197" t="n">
        <v>10</v>
      </c>
      <c r="C197" t="inlineStr">
        <is>
          <t xml:space="preserve">Stable employment in agricultural sector </t>
        </is>
      </c>
      <c r="D197" s="5" t="n"/>
      <c r="E197" s="5" t="n"/>
    </row>
    <row r="198" customFormat="1" s="14">
      <c r="A198" s="222" t="inlineStr">
        <is>
          <t>incomesource3</t>
        </is>
      </c>
      <c r="B198" t="n">
        <v>11</v>
      </c>
      <c r="C198" t="inlineStr">
        <is>
          <t>Non-agricultural self-employed or liberal profession, doctor, architect, lawyer, including restaurant</t>
        </is>
      </c>
      <c r="D198" s="5" t="n"/>
      <c r="E198" s="5" t="n"/>
    </row>
    <row r="199" customFormat="1" s="14">
      <c r="A199" s="222" t="inlineStr">
        <is>
          <t>incomesource3</t>
        </is>
      </c>
      <c r="B199" t="n">
        <v>12</v>
      </c>
      <c r="C199" t="inlineStr">
        <is>
          <t>Off-farm daily wages and other non-agricultural casual employment</t>
        </is>
      </c>
      <c r="D199" s="5" t="n"/>
      <c r="E199" s="5" t="n"/>
    </row>
    <row r="200" customFormat="1" s="14">
      <c r="A200" s="222" t="inlineStr">
        <is>
          <t>incomesource3</t>
        </is>
      </c>
      <c r="B200" t="n">
        <v>13</v>
      </c>
      <c r="C200" t="inlineStr">
        <is>
          <t>Stable employment in non-agricultural sector</t>
        </is>
      </c>
      <c r="D200" s="5" t="n"/>
      <c r="E200" s="5" t="n"/>
    </row>
    <row r="201" customFormat="1" s="14">
      <c r="A201" s="222" t="inlineStr">
        <is>
          <t>incomesource3</t>
        </is>
      </c>
      <c r="B201" t="n">
        <v>14</v>
      </c>
      <c r="C201" t="inlineStr">
        <is>
          <t xml:space="preserve">Public employment </t>
        </is>
      </c>
      <c r="D201" s="5" t="n"/>
      <c r="E201" s="5" t="n"/>
    </row>
    <row r="202" customFormat="1" s="14">
      <c r="A202" s="222" t="inlineStr">
        <is>
          <t>incomesource3</t>
        </is>
      </c>
      <c r="B202" s="222" t="n">
        <v>15</v>
      </c>
      <c r="C202" s="222" t="inlineStr">
        <is>
          <t>Income not derived from work / Charity</t>
        </is>
      </c>
      <c r="D202" s="5" t="n"/>
      <c r="E202" s="5" t="n"/>
    </row>
    <row r="203" customFormat="1" s="14">
      <c r="A203" s="222" t="inlineStr">
        <is>
          <t>incomesource3</t>
        </is>
      </c>
      <c r="B203" s="222" t="n">
        <v>16</v>
      </c>
      <c r="C203" s="222" t="inlineStr">
        <is>
          <t>Income not derived from work / Welfare transfer, pension, humanitarian aid</t>
        </is>
      </c>
      <c r="D203" s="5" t="n"/>
      <c r="E203" s="5" t="n"/>
    </row>
    <row r="204" customFormat="1" s="14">
      <c r="A204" s="222" t="inlineStr">
        <is>
          <t>incomesource3</t>
        </is>
      </c>
      <c r="B204" s="222" t="n">
        <v>17</v>
      </c>
      <c r="C204" s="222" t="inlineStr">
        <is>
          <t>Income not derived from work / Remittances</t>
        </is>
      </c>
      <c r="D204" s="5" t="n"/>
      <c r="E204" s="5" t="n"/>
    </row>
    <row r="205" customFormat="1" s="14">
      <c r="A205" s="222" t="inlineStr">
        <is>
          <t>incomesource3</t>
        </is>
      </c>
      <c r="B205" s="222" t="n">
        <v>18</v>
      </c>
      <c r="C205" s="222" t="inlineStr">
        <is>
          <t xml:space="preserve">Income not derived from work / Income from other rents                                </t>
        </is>
      </c>
      <c r="D205" s="5" t="n"/>
      <c r="E205" s="5" t="n"/>
    </row>
    <row r="206" customFormat="1" s="14">
      <c r="A206" s="222" t="inlineStr">
        <is>
          <t>incomesource3</t>
        </is>
      </c>
      <c r="B206" s="222" t="n">
        <v>19</v>
      </c>
      <c r="C206" s="222" t="inlineStr">
        <is>
          <t>No third most important source of income</t>
        </is>
      </c>
      <c r="D206" s="5" t="n"/>
      <c r="E206" s="5" t="n"/>
    </row>
    <row r="207" customFormat="1" s="14">
      <c r="A207" s="222" t="inlineStr">
        <is>
          <t>incomesource3</t>
        </is>
      </c>
      <c r="B207" s="221" t="n">
        <v>20</v>
      </c>
      <c r="C207" s="222" t="inlineStr">
        <is>
          <t>DON'T KNOW</t>
        </is>
      </c>
      <c r="D207" s="5" t="n"/>
      <c r="E207" s="5" t="n"/>
    </row>
    <row r="208" customFormat="1" s="14">
      <c r="A208" s="222" t="inlineStr">
        <is>
          <t>incomesource3</t>
        </is>
      </c>
      <c r="B208" s="221" t="n">
        <v>21</v>
      </c>
      <c r="C208" s="222" t="inlineStr">
        <is>
          <t>REFUSED</t>
        </is>
      </c>
      <c r="D208" s="5" t="n"/>
      <c r="E208" s="5" t="n"/>
    </row>
    <row r="209" customFormat="1" s="12">
      <c r="D209" s="8" t="n"/>
      <c r="E209" s="8" t="n"/>
    </row>
    <row r="210">
      <c r="A210" t="inlineStr">
        <is>
          <t>shock</t>
        </is>
      </c>
      <c r="B210" t="inlineStr">
        <is>
          <t>noshock</t>
        </is>
      </c>
      <c r="C210" t="inlineStr">
        <is>
          <t>No shock</t>
        </is>
      </c>
      <c r="D210" s="4" t="n"/>
      <c r="E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c r="E211" s="4" t="n"/>
    </row>
    <row r="212">
      <c r="A212" t="inlineStr">
        <is>
          <t>shock</t>
        </is>
      </c>
      <c r="B212" t="inlineStr">
        <is>
          <t>lostemplorwork</t>
        </is>
      </c>
      <c r="C212" t="inlineStr">
        <is>
          <t>Lost employment or working opportunities [not due to illness/accident]</t>
        </is>
      </c>
      <c r="D212" s="4" t="n"/>
      <c r="E212" s="4" t="n"/>
    </row>
    <row r="213">
      <c r="A213" t="inlineStr">
        <is>
          <t>shock</t>
        </is>
      </c>
      <c r="B213" t="inlineStr">
        <is>
          <t>otherintrahhshock</t>
        </is>
      </c>
      <c r="C213" t="inlineStr">
        <is>
          <t>Other intra-household shock</t>
        </is>
      </c>
      <c r="D213" s="4" t="n"/>
      <c r="E213" s="4" t="n"/>
    </row>
    <row r="214">
      <c r="A214" t="inlineStr">
        <is>
          <t>shock</t>
        </is>
      </c>
      <c r="B214" t="inlineStr">
        <is>
          <t>higherfoodprices</t>
        </is>
      </c>
      <c r="C214" t="inlineStr">
        <is>
          <t>Unusually high food prices</t>
        </is>
      </c>
      <c r="D214" s="4" t="n"/>
      <c r="E214" s="4" t="n"/>
    </row>
    <row r="215">
      <c r="A215" t="inlineStr">
        <is>
          <t>shock</t>
        </is>
      </c>
      <c r="B215" t="inlineStr">
        <is>
          <t>higherfuelprices</t>
        </is>
      </c>
      <c r="C215" t="inlineStr">
        <is>
          <t>Unusually high fuel prices or transport prices</t>
        </is>
      </c>
      <c r="D215" s="4" t="n"/>
      <c r="E215" s="4" t="n"/>
    </row>
    <row r="216">
      <c r="A216" t="inlineStr">
        <is>
          <t>shock</t>
        </is>
      </c>
      <c r="B216" t="inlineStr">
        <is>
          <t>mvtrestrict</t>
        </is>
      </c>
      <c r="C216" t="inlineStr">
        <is>
          <t>Population movement restrictions [e.g. due to epidemic or infrastructure damage]</t>
        </is>
      </c>
      <c r="D216" s="4" t="n"/>
      <c r="E216" s="4" t="n"/>
    </row>
    <row r="217">
      <c r="A217" t="inlineStr">
        <is>
          <t>shock</t>
        </is>
      </c>
      <c r="B217" t="inlineStr">
        <is>
          <t>othereconomicshock</t>
        </is>
      </c>
      <c r="C217" t="inlineStr">
        <is>
          <t xml:space="preserve">Other economic shock </t>
        </is>
      </c>
      <c r="D217" s="4" t="n"/>
      <c r="E217" s="4" t="n"/>
    </row>
    <row r="218">
      <c r="A218" t="inlineStr">
        <is>
          <t>shock</t>
        </is>
      </c>
      <c r="B218" t="inlineStr">
        <is>
          <t>pestoutbreak</t>
        </is>
      </c>
      <c r="C218" t="inlineStr">
        <is>
          <t>Pest outbreak</t>
        </is>
      </c>
      <c r="D218" s="4" t="n"/>
      <c r="E218" s="4" t="n"/>
    </row>
    <row r="219">
      <c r="A219" t="inlineStr">
        <is>
          <t>shock</t>
        </is>
      </c>
      <c r="B219" t="inlineStr">
        <is>
          <t>plantdisease</t>
        </is>
      </c>
      <c r="C219" t="inlineStr">
        <is>
          <t>Plant disease</t>
        </is>
      </c>
      <c r="D219" s="4" t="n"/>
      <c r="E219" s="4" t="n"/>
    </row>
    <row r="220">
      <c r="A220" t="inlineStr">
        <is>
          <t>shock</t>
        </is>
      </c>
      <c r="B220" t="inlineStr">
        <is>
          <t>animaldisease</t>
        </is>
      </c>
      <c r="C220" t="inlineStr">
        <is>
          <t>Animal disease [affecting many animals] or death</t>
        </is>
      </c>
      <c r="D220" s="4" t="n"/>
      <c r="E220" s="4" t="n"/>
    </row>
    <row r="221">
      <c r="A221" t="inlineStr">
        <is>
          <t>shock</t>
        </is>
      </c>
      <c r="B221" t="inlineStr">
        <is>
          <t>napasture</t>
        </is>
      </c>
      <c r="C221" t="inlineStr">
        <is>
          <t>Lack of physical access to pasture</t>
        </is>
      </c>
      <c r="D221" s="4" t="n"/>
      <c r="E221" s="4" t="n"/>
    </row>
    <row r="222">
      <c r="A222" t="inlineStr">
        <is>
          <t>shock</t>
        </is>
      </c>
      <c r="B222" t="inlineStr">
        <is>
          <t>othercropandlivests</t>
        </is>
      </c>
      <c r="C222" t="inlineStr">
        <is>
          <t>Other crop and livestock shock</t>
        </is>
      </c>
      <c r="D222" s="4" t="n"/>
      <c r="E222" s="4" t="n"/>
    </row>
    <row r="223">
      <c r="A223" t="inlineStr">
        <is>
          <t>shock</t>
        </is>
      </c>
      <c r="B223" t="inlineStr">
        <is>
          <t>coldtemporhail</t>
        </is>
      </c>
      <c r="C223" t="inlineStr">
        <is>
          <t>Cold temperatures or hail</t>
        </is>
      </c>
      <c r="D223" s="4" t="n"/>
      <c r="E223" s="4" t="n"/>
    </row>
    <row r="224">
      <c r="A224" t="inlineStr">
        <is>
          <t>shock</t>
        </is>
      </c>
      <c r="B224" t="inlineStr">
        <is>
          <t>flood</t>
        </is>
      </c>
      <c r="C224" t="inlineStr">
        <is>
          <t>Flood / riverbank erosion</t>
        </is>
      </c>
      <c r="D224" s="4" t="n"/>
      <c r="E224" s="4" t="n"/>
    </row>
    <row r="225">
      <c r="A225" t="inlineStr">
        <is>
          <t>shock</t>
        </is>
      </c>
      <c r="B225" t="inlineStr">
        <is>
          <t>hurricane</t>
        </is>
      </c>
      <c r="C225" t="inlineStr">
        <is>
          <t>Hurricane / cyclone / tornado</t>
        </is>
      </c>
      <c r="D225" s="4" t="n"/>
      <c r="E225" s="4" t="n"/>
    </row>
    <row r="226">
      <c r="A226" t="inlineStr">
        <is>
          <t>shock</t>
        </is>
      </c>
      <c r="B226" t="inlineStr">
        <is>
          <t>drought</t>
        </is>
      </c>
      <c r="C226" t="inlineStr">
        <is>
          <t>Drought / heat stress</t>
        </is>
      </c>
      <c r="D226" s="4" t="n"/>
      <c r="E226" s="4" t="n"/>
    </row>
    <row r="227">
      <c r="A227" t="inlineStr">
        <is>
          <t>shock</t>
        </is>
      </c>
      <c r="B227" t="inlineStr">
        <is>
          <t>earthquake</t>
        </is>
      </c>
      <c r="C227" t="inlineStr">
        <is>
          <t>Earthquake</t>
        </is>
      </c>
      <c r="D227" s="4" t="n"/>
      <c r="E227" s="4" t="n"/>
    </row>
    <row r="228">
      <c r="A228" t="inlineStr">
        <is>
          <t>shock</t>
        </is>
      </c>
      <c r="B228" t="inlineStr">
        <is>
          <t>landslides</t>
        </is>
      </c>
      <c r="C228" t="inlineStr">
        <is>
          <t>Landslides</t>
        </is>
      </c>
      <c r="D228" s="4" t="n"/>
      <c r="E228" s="4" t="n"/>
    </row>
    <row r="229">
      <c r="A229" t="inlineStr">
        <is>
          <t>shock</t>
        </is>
      </c>
      <c r="B229" t="inlineStr">
        <is>
          <t>firenatural</t>
        </is>
      </c>
      <c r="C229" t="inlineStr">
        <is>
          <t>Fire from natural disaster</t>
        </is>
      </c>
      <c r="D229" s="4" t="n"/>
      <c r="E229" s="4" t="n"/>
    </row>
    <row r="230">
      <c r="A230" t="inlineStr">
        <is>
          <t>shock</t>
        </is>
      </c>
      <c r="B230" t="inlineStr">
        <is>
          <t>othernathazard</t>
        </is>
      </c>
      <c r="C230" t="inlineStr">
        <is>
          <t>Other natural hazard</t>
        </is>
      </c>
      <c r="D230" s="4" t="n"/>
      <c r="E230" s="4" t="n"/>
    </row>
    <row r="231">
      <c r="A231" t="inlineStr">
        <is>
          <t>shock</t>
        </is>
      </c>
      <c r="B231" t="inlineStr">
        <is>
          <t>violenceinsecconf</t>
        </is>
      </c>
      <c r="C231" t="inlineStr">
        <is>
          <t>Violence and insecurity / conflict</t>
        </is>
      </c>
      <c r="D231" s="4" t="n"/>
      <c r="E231" s="4" t="n"/>
    </row>
    <row r="232">
      <c r="A232" t="inlineStr">
        <is>
          <t>shock</t>
        </is>
      </c>
      <c r="B232" t="inlineStr">
        <is>
          <t>theftofprodassets</t>
        </is>
      </c>
      <c r="C232" t="inlineStr">
        <is>
          <t>Theft of production assets [land / livestock / tools / etc]</t>
        </is>
      </c>
      <c r="D232" s="4" t="n"/>
      <c r="E232" s="4" t="n"/>
    </row>
    <row r="233">
      <c r="A233" t="inlineStr">
        <is>
          <t>shock</t>
        </is>
      </c>
      <c r="B233" t="inlineStr">
        <is>
          <t>firemanmade</t>
        </is>
      </c>
      <c r="C233" t="inlineStr">
        <is>
          <t>Fire from man-made disaster</t>
        </is>
      </c>
      <c r="D233" s="4" t="n"/>
      <c r="E233" s="4" t="n"/>
    </row>
    <row r="234">
      <c r="A234" t="inlineStr">
        <is>
          <t>shock</t>
        </is>
      </c>
      <c r="B234" t="inlineStr">
        <is>
          <t>othermanmadehazard</t>
        </is>
      </c>
      <c r="C234" t="inlineStr">
        <is>
          <t>Other human-induced hazard</t>
        </is>
      </c>
      <c r="D234" s="4" t="n"/>
      <c r="E234" s="4" t="n"/>
    </row>
    <row r="235">
      <c r="A235" t="inlineStr">
        <is>
          <t>shock</t>
        </is>
      </c>
      <c r="B235" t="inlineStr">
        <is>
          <t>dk</t>
        </is>
      </c>
      <c r="C235" t="inlineStr">
        <is>
          <t>DON'T KNOW</t>
        </is>
      </c>
      <c r="D235" s="4" t="n"/>
      <c r="E235" s="4" t="n"/>
    </row>
    <row r="236">
      <c r="A236" t="inlineStr">
        <is>
          <t>shock</t>
        </is>
      </c>
      <c r="B236" t="inlineStr">
        <is>
          <t>ref</t>
        </is>
      </c>
      <c r="C236" t="inlineStr">
        <is>
          <t>REFUSED</t>
        </is>
      </c>
      <c r="D236" s="4" t="n"/>
      <c r="E236" s="4" t="n"/>
    </row>
    <row r="237">
      <c r="D237" s="4" t="n"/>
      <c r="E237" s="4" t="n"/>
    </row>
    <row r="238">
      <c r="A238" s="238" t="inlineStr">
        <is>
          <t>floodsaseverity</t>
        </is>
      </c>
      <c r="B238" s="238" t="inlineStr">
        <is>
          <t xml:space="preserve">houseseroded </t>
        </is>
      </c>
      <c r="C238" s="238" t="inlineStr">
        <is>
          <t xml:space="preserve">Houses Eroded by flood </t>
        </is>
      </c>
      <c r="D238" s="238" t="n"/>
      <c r="E238" s="238" t="n"/>
    </row>
    <row r="239">
      <c r="A239" s="238" t="inlineStr">
        <is>
          <t>floodsaseverity</t>
        </is>
      </c>
      <c r="B239" s="238" t="inlineStr">
        <is>
          <t>evacuatedfromhouse</t>
        </is>
      </c>
      <c r="C239" s="238" t="inlineStr">
        <is>
          <t>Evacuated from the house</t>
        </is>
      </c>
      <c r="D239" s="238" t="n"/>
      <c r="E239" s="238" t="n"/>
    </row>
    <row r="240">
      <c r="A240" s="238" t="inlineStr">
        <is>
          <t>floodsaseverity</t>
        </is>
      </c>
      <c r="B240" s="238" t="inlineStr">
        <is>
          <t>roadsdamagednoaccesstomarket</t>
        </is>
      </c>
      <c r="C240" s="238" t="inlineStr">
        <is>
          <t>roads damaged/No access to market</t>
        </is>
      </c>
      <c r="D240" s="238" t="n"/>
      <c r="E240" s="238" t="n"/>
    </row>
    <row r="241">
      <c r="A241" s="238" t="inlineStr">
        <is>
          <t>floodsaseverity</t>
        </is>
      </c>
      <c r="B241" s="238" t="inlineStr">
        <is>
          <t xml:space="preserve">Irrigation canals damaged/washed away </t>
        </is>
      </c>
      <c r="C241" s="238" t="inlineStr">
        <is>
          <t xml:space="preserve">Irrigation canals damaged/washed away </t>
        </is>
      </c>
      <c r="D241" s="238" t="n"/>
      <c r="E241" s="238" t="n"/>
    </row>
    <row r="242">
      <c r="D242" s="4" t="n"/>
      <c r="E242" s="4" t="n"/>
    </row>
    <row r="243">
      <c r="A243" t="inlineStr">
        <is>
          <t>covidmeasures</t>
        </is>
      </c>
      <c r="B243" t="inlineStr">
        <is>
          <t>goodstransp</t>
        </is>
      </c>
      <c r="C243" t="inlineStr">
        <is>
          <t>Movement restrictions [sometimes producing product scarcity or price hikes]</t>
        </is>
      </c>
      <c r="D243" s="4" t="n"/>
      <c r="E243" s="4" t="n"/>
    </row>
    <row r="244">
      <c r="A244" t="inlineStr">
        <is>
          <t>covidmeasures</t>
        </is>
      </c>
      <c r="B244" t="inlineStr">
        <is>
          <t>marketclosed</t>
        </is>
      </c>
      <c r="C244" t="inlineStr">
        <is>
          <t>Closure of food markets or other businesses</t>
        </is>
      </c>
      <c r="D244" s="4" t="n"/>
      <c r="E244" s="4" t="n"/>
    </row>
    <row r="245">
      <c r="A245" t="inlineStr">
        <is>
          <t>covidmeasures</t>
        </is>
      </c>
      <c r="B245" t="inlineStr">
        <is>
          <t>borderclosed</t>
        </is>
      </c>
      <c r="C245" t="inlineStr">
        <is>
          <t>Closure of international borders [affecting the purchase of imported inputs or the sale of goods for export or transhumance]</t>
        </is>
      </c>
      <c r="D245" s="4" t="n"/>
      <c r="E245" s="4" t="n"/>
    </row>
    <row r="246">
      <c r="A246" t="inlineStr">
        <is>
          <t>covidmeasures</t>
        </is>
      </c>
      <c r="B246" t="inlineStr">
        <is>
          <t>stayhome</t>
        </is>
      </c>
      <c r="C246" t="inlineStr">
        <is>
          <t>Stay at home order</t>
        </is>
      </c>
      <c r="D246" s="4" t="n"/>
      <c r="E246" s="4" t="n"/>
    </row>
    <row r="247">
      <c r="A247" t="inlineStr">
        <is>
          <t>covidmeasures</t>
        </is>
      </c>
      <c r="B247" t="inlineStr">
        <is>
          <t>gatherings</t>
        </is>
      </c>
      <c r="C247" t="inlineStr">
        <is>
          <t>Ban on gatherings</t>
        </is>
      </c>
      <c r="D247" s="4" t="n"/>
      <c r="E247" s="4" t="n"/>
    </row>
    <row r="248">
      <c r="A248" t="inlineStr">
        <is>
          <t>covidmeasures</t>
        </is>
      </c>
      <c r="B248" t="inlineStr">
        <is>
          <t>processclosed</t>
        </is>
      </c>
      <c r="C248" t="inlineStr">
        <is>
          <t>Closure of food processors [slaughterhouse / dairy cooperatives / etc] or restaurants</t>
        </is>
      </c>
      <c r="D248" s="4" t="n"/>
      <c r="E248" s="4" t="n"/>
    </row>
    <row r="249">
      <c r="A249" t="inlineStr">
        <is>
          <t>covidmeasures</t>
        </is>
      </c>
      <c r="B249" t="inlineStr">
        <is>
          <t>curfew</t>
        </is>
      </c>
      <c r="C249" t="inlineStr">
        <is>
          <t>Curfews</t>
        </is>
      </c>
      <c r="D249" s="4" t="n"/>
      <c r="E249" s="4" t="n"/>
    </row>
    <row r="250">
      <c r="A250" t="inlineStr">
        <is>
          <t>covidmeasures</t>
        </is>
      </c>
      <c r="B250" t="inlineStr">
        <is>
          <t>school</t>
        </is>
      </c>
      <c r="C250" t="inlineStr">
        <is>
          <t>Closure of schools</t>
        </is>
      </c>
      <c r="D250" s="4" t="n"/>
      <c r="E250" s="4" t="n"/>
    </row>
    <row r="251">
      <c r="A251" t="inlineStr">
        <is>
          <t>covidmeasures</t>
        </is>
      </c>
      <c r="B251" t="inlineStr">
        <is>
          <t>other</t>
        </is>
      </c>
      <c r="C251" t="inlineStr">
        <is>
          <t>Other [specify]</t>
        </is>
      </c>
      <c r="D251" s="4" t="n"/>
      <c r="E251" s="4" t="n"/>
    </row>
    <row r="252">
      <c r="A252" t="inlineStr">
        <is>
          <t>covidmeasures</t>
        </is>
      </c>
      <c r="B252" t="inlineStr">
        <is>
          <t>none</t>
        </is>
      </c>
      <c r="C252" t="inlineStr">
        <is>
          <t>Not affected by restrictions</t>
        </is>
      </c>
      <c r="D252" s="4" t="n"/>
      <c r="E252" s="4" t="n"/>
    </row>
    <row r="253">
      <c r="A253" t="inlineStr">
        <is>
          <t>covidmeasures</t>
        </is>
      </c>
      <c r="B253" t="inlineStr">
        <is>
          <t>dk</t>
        </is>
      </c>
      <c r="C253" t="inlineStr">
        <is>
          <t>DON'T KNOW</t>
        </is>
      </c>
      <c r="D253" s="4" t="n"/>
      <c r="E253" s="4" t="n"/>
    </row>
    <row r="254">
      <c r="A254" t="inlineStr">
        <is>
          <t>covidmeasures</t>
        </is>
      </c>
      <c r="B254" t="inlineStr">
        <is>
          <t>ref</t>
        </is>
      </c>
      <c r="C254" t="inlineStr">
        <is>
          <t>REFUSED</t>
        </is>
      </c>
      <c r="D254" s="4" t="n"/>
      <c r="E254" s="4" t="n"/>
    </row>
    <row r="255">
      <c r="D255" s="4" t="n"/>
      <c r="E255" s="4" t="n"/>
    </row>
    <row r="256" customFormat="1" s="13">
      <c r="A256" s="222" t="inlineStr">
        <is>
          <t>landsize_unit</t>
        </is>
      </c>
      <c r="B256" s="222" t="n">
        <v>1</v>
      </c>
      <c r="C256" s="222" t="inlineStr">
        <is>
          <t>Acres</t>
        </is>
      </c>
      <c r="D256" s="15" t="n"/>
      <c r="E256" s="15" t="n"/>
    </row>
    <row r="257" customFormat="1" s="13">
      <c r="A257" s="222" t="inlineStr">
        <is>
          <t>landsize_unit</t>
        </is>
      </c>
      <c r="B257" s="222" t="n">
        <v>2</v>
      </c>
      <c r="C257" s="222" t="inlineStr">
        <is>
          <t>Hectares</t>
        </is>
      </c>
      <c r="D257" s="15" t="n"/>
      <c r="E257" s="15" t="n"/>
    </row>
    <row r="258" customFormat="1" s="13">
      <c r="A258" s="222" t="inlineStr">
        <is>
          <t>landsize_unit</t>
        </is>
      </c>
      <c r="B258" s="222" t="n">
        <v>3</v>
      </c>
      <c r="C258" s="222" t="inlineStr">
        <is>
          <t>Square meters</t>
        </is>
      </c>
      <c r="D258" s="15" t="n"/>
      <c r="E258" s="15" t="n"/>
    </row>
    <row r="259" customFormat="1" s="13">
      <c r="A259" s="222" t="inlineStr">
        <is>
          <t>landsize_unit</t>
        </is>
      </c>
      <c r="B259" s="222" t="n">
        <v>4</v>
      </c>
      <c r="C259" s="222" t="inlineStr">
        <is>
          <t>Square feet</t>
        </is>
      </c>
      <c r="D259" s="15" t="n"/>
      <c r="E259" s="15" t="n"/>
    </row>
    <row r="260" customFormat="1" s="13">
      <c r="A260" s="222" t="inlineStr">
        <is>
          <t>landsize_unit</t>
        </is>
      </c>
      <c r="B260" s="222" t="n">
        <v>5</v>
      </c>
      <c r="C260" s="224" t="inlineStr">
        <is>
          <t>nan</t>
        </is>
      </c>
      <c r="D260" s="15" t="n"/>
      <c r="E260" s="15" t="n"/>
    </row>
    <row r="261" customFormat="1" s="13">
      <c r="D261" s="15" t="n"/>
      <c r="E261" s="15" t="n"/>
    </row>
    <row r="262" customFormat="1" s="14">
      <c r="A262" s="222" t="inlineStr">
        <is>
          <t>cropcheck</t>
        </is>
      </c>
      <c r="B262" s="222" t="n">
        <v>1</v>
      </c>
      <c r="C262" s="222" t="inlineStr">
        <is>
          <t xml:space="preserve">Don’t usually produce during this season </t>
        </is>
      </c>
      <c r="D262" s="5" t="n"/>
      <c r="E262" s="5" t="n"/>
    </row>
    <row r="263" customFormat="1" s="14">
      <c r="A263" s="222" t="inlineStr">
        <is>
          <t>cropcheck</t>
        </is>
      </c>
      <c r="B263" s="222" t="n">
        <v>2</v>
      </c>
      <c r="C263" s="222" t="inlineStr">
        <is>
          <t>Wasn't able to produce (e.g. due to difficulties)</t>
        </is>
      </c>
      <c r="D263" s="5" t="n"/>
      <c r="E263" s="5" t="n"/>
    </row>
    <row r="264" customFormat="1" s="13">
      <c r="D264" s="15" t="n"/>
      <c r="E264" s="15" t="n"/>
    </row>
    <row r="265" customFormat="1" s="13">
      <c r="A265" s="222" t="inlineStr">
        <is>
          <t>irrigation</t>
        </is>
      </c>
      <c r="B265" s="222" t="n">
        <v>1</v>
      </c>
      <c r="C265" s="222" t="inlineStr">
        <is>
          <t>Rainfed</t>
        </is>
      </c>
      <c r="D265" s="15" t="n"/>
      <c r="E265" s="15" t="n"/>
    </row>
    <row r="266" customFormat="1" s="13">
      <c r="A266" s="222" t="inlineStr">
        <is>
          <t>irrigation</t>
        </is>
      </c>
      <c r="B266" s="222" t="n">
        <v>2</v>
      </c>
      <c r="C266" s="222" t="inlineStr">
        <is>
          <t>Groundwater</t>
        </is>
      </c>
      <c r="D266" s="15" t="n"/>
      <c r="E266" s="15" t="n"/>
    </row>
    <row r="267" customFormat="1" s="13">
      <c r="A267" s="222" t="inlineStr">
        <is>
          <t>irrigation</t>
        </is>
      </c>
      <c r="B267" s="222" t="n">
        <v>3</v>
      </c>
      <c r="C267" s="222" t="inlineStr">
        <is>
          <t>Natural surface water [river, lake, stream, pond, etc.]</t>
        </is>
      </c>
      <c r="D267" s="15" t="n"/>
      <c r="E267" s="15" t="n"/>
    </row>
    <row r="268" customFormat="1" s="13">
      <c r="A268" s="222" t="inlineStr">
        <is>
          <t>irrigation</t>
        </is>
      </c>
      <c r="B268" s="222" t="n">
        <v>4</v>
      </c>
      <c r="C268" s="222" t="inlineStr">
        <is>
          <t>Constructed water point [canal, dam, etc.]</t>
        </is>
      </c>
      <c r="D268" s="15" t="n"/>
      <c r="E268" s="15" t="n"/>
    </row>
    <row r="269" customFormat="1" s="13">
      <c r="A269" s="222" t="inlineStr">
        <is>
          <t>irrigation</t>
        </is>
      </c>
      <c r="B269" s="222" t="n">
        <v>5</v>
      </c>
      <c r="C269" s="222" t="inlineStr">
        <is>
          <t>Public water supply system [e.g. tap water]</t>
        </is>
      </c>
      <c r="D269" s="15" t="n"/>
      <c r="E269" s="15" t="n"/>
    </row>
    <row r="270" customFormat="1" s="13">
      <c r="A270" s="222" t="inlineStr">
        <is>
          <t>irrigation</t>
        </is>
      </c>
      <c r="B270" s="222" t="n">
        <v>6</v>
      </c>
      <c r="C270" s="222" t="inlineStr">
        <is>
          <t>Other [specify]</t>
        </is>
      </c>
      <c r="D270" s="15" t="n"/>
      <c r="E270" s="15" t="n"/>
    </row>
    <row r="271" customFormat="1" s="13">
      <c r="A271" s="222" t="inlineStr">
        <is>
          <t>irrigation</t>
        </is>
      </c>
      <c r="B271" s="222" t="n">
        <v>7</v>
      </c>
      <c r="C271" s="222" t="inlineStr">
        <is>
          <t>DON'T KNOW</t>
        </is>
      </c>
      <c r="D271" s="15" t="n"/>
      <c r="E271" s="15" t="n"/>
    </row>
    <row r="272" customFormat="1" s="13">
      <c r="A272" s="222" t="inlineStr">
        <is>
          <t>irrigation</t>
        </is>
      </c>
      <c r="B272" s="222" t="n">
        <v>8</v>
      </c>
      <c r="C272" s="222" t="inlineStr">
        <is>
          <t>REFUSED</t>
        </is>
      </c>
      <c r="D272" s="15" t="n"/>
      <c r="E272" s="15" t="n"/>
    </row>
    <row r="273">
      <c r="D273" s="4" t="n"/>
      <c r="E273" s="4" t="n"/>
    </row>
    <row r="274" customFormat="1" s="13">
      <c r="A274" s="223" t="inlineStr">
        <is>
          <t>irrigpump</t>
        </is>
      </c>
      <c r="B274" s="223" t="n">
        <v>1</v>
      </c>
      <c r="C274" s="223" t="inlineStr">
        <is>
          <t>No, everything works on gravity</t>
        </is>
      </c>
      <c r="D274" s="15" t="n"/>
      <c r="E274" s="15" t="n"/>
    </row>
    <row r="275" customFormat="1" s="13">
      <c r="A275" s="223" t="inlineStr">
        <is>
          <t>irrigpump</t>
        </is>
      </c>
      <c r="B275" s="223" t="n">
        <v>2</v>
      </c>
      <c r="C275" s="223" t="inlineStr">
        <is>
          <t>Yes, there is a communal diesel/gas pump</t>
        </is>
      </c>
      <c r="D275" s="15" t="n"/>
      <c r="E275" s="15" t="n"/>
    </row>
    <row r="276" customFormat="1" s="13">
      <c r="A276" s="223" t="inlineStr">
        <is>
          <t>irrigpump</t>
        </is>
      </c>
      <c r="B276" s="223" t="n">
        <v>3</v>
      </c>
      <c r="C276" s="223" t="inlineStr">
        <is>
          <t>Yes, there is a communal manual pump</t>
        </is>
      </c>
      <c r="D276" s="15" t="n"/>
      <c r="E276" s="15" t="n"/>
    </row>
    <row r="277" customFormat="1" s="13">
      <c r="A277" s="223" t="inlineStr">
        <is>
          <t>irrigpump</t>
        </is>
      </c>
      <c r="B277" s="223" t="n">
        <v>4</v>
      </c>
      <c r="C277" s="223" t="inlineStr">
        <is>
          <t>Yes, there is a manual pump in my field</t>
        </is>
      </c>
      <c r="D277" s="15" t="n"/>
      <c r="E277" s="15" t="n"/>
    </row>
    <row r="278" customFormat="1" s="13">
      <c r="A278" s="223" t="inlineStr">
        <is>
          <t>irrigpump</t>
        </is>
      </c>
      <c r="B278" s="223" t="n">
        <v>5</v>
      </c>
      <c r="C278" s="223" t="inlineStr">
        <is>
          <t>Yes, there is a diesel pump in my field</t>
        </is>
      </c>
      <c r="D278" s="15" t="n"/>
      <c r="E278" s="15" t="n"/>
    </row>
    <row r="279" customFormat="1" s="13">
      <c r="A279" s="223" t="inlineStr">
        <is>
          <t>irrigpump</t>
        </is>
      </c>
      <c r="B279" s="223" t="n">
        <v>6</v>
      </c>
      <c r="C279" s="223" t="inlineStr">
        <is>
          <t>DON'T KNOW</t>
        </is>
      </c>
      <c r="D279" s="15" t="n"/>
      <c r="E279" s="15" t="n"/>
    </row>
    <row r="280" customFormat="1" s="13">
      <c r="A280" s="223" t="inlineStr">
        <is>
          <t>irrigpump</t>
        </is>
      </c>
      <c r="B280" s="223" t="n">
        <v>7</v>
      </c>
      <c r="C280" s="223" t="inlineStr">
        <is>
          <t>REFUSED</t>
        </is>
      </c>
      <c r="D280" s="15" t="n"/>
      <c r="E280" s="15" t="n"/>
    </row>
    <row r="281">
      <c r="D281" s="4" t="n"/>
      <c r="E281" s="4" t="n"/>
    </row>
    <row r="282" customFormat="1" s="13">
      <c r="A282" s="223" t="inlineStr">
        <is>
          <t>seedsupply</t>
        </is>
      </c>
      <c r="B282" s="223" t="inlineStr">
        <is>
          <t>ownprod</t>
        </is>
      </c>
      <c r="C282" s="223" t="inlineStr">
        <is>
          <t>Own production</t>
        </is>
      </c>
      <c r="D282" s="15" t="n"/>
      <c r="E282" s="15" t="n"/>
    </row>
    <row r="283" customFormat="1" s="13">
      <c r="A283" s="223" t="inlineStr">
        <is>
          <t>seedsupply</t>
        </is>
      </c>
      <c r="B283" s="223" t="inlineStr">
        <is>
          <t>market</t>
        </is>
      </c>
      <c r="C283" s="223" t="inlineStr">
        <is>
          <t>Local market or agro-input shop / dealer</t>
        </is>
      </c>
      <c r="D283" s="15" t="n"/>
      <c r="E283" s="15" t="n"/>
    </row>
    <row r="284" customFormat="1" s="13">
      <c r="A284" s="223" t="inlineStr">
        <is>
          <t>seedsupply</t>
        </is>
      </c>
      <c r="B284" s="223" t="inlineStr">
        <is>
          <t>company</t>
        </is>
      </c>
      <c r="C284" s="223" t="inlineStr">
        <is>
          <t>Private seed company</t>
        </is>
      </c>
      <c r="D284" s="15" t="n"/>
      <c r="E284" s="15" t="n"/>
    </row>
    <row r="285" customFormat="1" s="13">
      <c r="A285" s="223" t="inlineStr">
        <is>
          <t>seedsupply</t>
        </is>
      </c>
      <c r="B285" s="223" t="inlineStr">
        <is>
          <t>ngo</t>
        </is>
      </c>
      <c r="C285" s="223" t="inlineStr">
        <is>
          <t>NGOs</t>
        </is>
      </c>
      <c r="D285" s="15" t="n"/>
      <c r="E285" s="15" t="n"/>
    </row>
    <row r="286" customFormat="1" s="13">
      <c r="A286" s="223" t="inlineStr">
        <is>
          <t>seedsupply</t>
        </is>
      </c>
      <c r="B286" s="223" t="inlineStr">
        <is>
          <t>organized_community</t>
        </is>
      </c>
      <c r="C286" s="223" t="inlineStr">
        <is>
          <t>Community seed banks / farmer networks / farmers' association / etc.</t>
        </is>
      </c>
      <c r="D286" s="15" t="n"/>
      <c r="E286" s="15" t="n"/>
    </row>
    <row r="287" customFormat="1" s="13">
      <c r="A287" s="223" t="inlineStr">
        <is>
          <t>seedsupply</t>
        </is>
      </c>
      <c r="B287" s="223" t="inlineStr">
        <is>
          <t>gov</t>
        </is>
      </c>
      <c r="C287" s="223" t="inlineStr">
        <is>
          <t>Government [e.g. MoA]</t>
        </is>
      </c>
      <c r="D287" s="15" t="n"/>
      <c r="E287" s="15" t="n"/>
    </row>
    <row r="288" customFormat="1" s="13">
      <c r="A288" s="223" t="inlineStr">
        <is>
          <t>seedsupply</t>
        </is>
      </c>
      <c r="B288" s="223" t="inlineStr">
        <is>
          <t>relatives_friends</t>
        </is>
      </c>
      <c r="C288" s="223" t="inlineStr">
        <is>
          <t>Relatives or friends</t>
        </is>
      </c>
      <c r="D288" s="15" t="n"/>
      <c r="E288" s="15" t="n"/>
    </row>
    <row r="289" customFormat="1" s="13">
      <c r="A289" s="223" t="inlineStr">
        <is>
          <t>seedsupply</t>
        </is>
      </c>
      <c r="B289" s="223" t="inlineStr">
        <is>
          <t>other</t>
        </is>
      </c>
      <c r="C289" s="223" t="inlineStr">
        <is>
          <t>Other</t>
        </is>
      </c>
      <c r="D289" s="15" t="n"/>
      <c r="E289" s="15" t="n"/>
    </row>
    <row r="290" customFormat="1" s="13">
      <c r="A290" s="223" t="inlineStr">
        <is>
          <t>seedsupply</t>
        </is>
      </c>
      <c r="B290" s="223" t="inlineStr">
        <is>
          <t>dk</t>
        </is>
      </c>
      <c r="C290" s="223" t="inlineStr">
        <is>
          <t>DON'T KNOW</t>
        </is>
      </c>
      <c r="D290" s="15" t="n"/>
      <c r="E290" s="15" t="n"/>
    </row>
    <row r="291" customFormat="1" s="13">
      <c r="A291" s="223" t="inlineStr">
        <is>
          <t>seedsupply</t>
        </is>
      </c>
      <c r="B291" s="223" t="inlineStr">
        <is>
          <t>ref</t>
        </is>
      </c>
      <c r="C291" s="223" t="inlineStr">
        <is>
          <t>REFUSED</t>
        </is>
      </c>
      <c r="D291" s="15" t="n"/>
      <c r="E291" s="15" t="n"/>
    </row>
    <row r="292" customFormat="1" s="13">
      <c r="A292" s="223" t="n"/>
      <c r="B292" s="223" t="n"/>
      <c r="C292" s="223" t="n"/>
      <c r="D292" s="15" t="n"/>
      <c r="E292" s="15" t="n"/>
    </row>
    <row r="293" ht="24.6" customHeight="1">
      <c r="A293" s="241" t="inlineStr">
        <is>
          <t>o_difficulty_seed</t>
        </is>
      </c>
      <c r="B293" s="242" t="inlineStr">
        <is>
          <t>no_need_seeds</t>
        </is>
      </c>
      <c r="C293" s="242" t="inlineStr">
        <is>
          <t>No - not in planting season so no need for seeds</t>
        </is>
      </c>
      <c r="D293" s="238" t="n"/>
      <c r="E293" s="238" t="n"/>
    </row>
    <row r="294">
      <c r="A294" s="242" t="inlineStr">
        <is>
          <t>o_difficulty_seed</t>
        </is>
      </c>
      <c r="B294" s="242" t="inlineStr">
        <is>
          <t>yes_difficulties</t>
        </is>
      </c>
      <c r="C294" s="242" t="inlineStr">
        <is>
          <t>Yes - facing difficulties</t>
        </is>
      </c>
      <c r="D294" s="238" t="n"/>
      <c r="E294" s="238" t="n"/>
    </row>
    <row r="295">
      <c r="A295" s="242" t="n"/>
      <c r="B295" s="242" t="n"/>
      <c r="C295" s="242" t="n"/>
      <c r="D295" s="238" t="n"/>
      <c r="E295" s="238" t="n"/>
    </row>
    <row r="296">
      <c r="A296" s="242" t="inlineStr">
        <is>
          <t>o_difficulty_seed_type</t>
        </is>
      </c>
      <c r="B296" s="242" t="inlineStr">
        <is>
          <t>seeds_vendors</t>
        </is>
      </c>
      <c r="C296" s="242" t="inlineStr">
        <is>
          <t>Seeds are not available from vendors</t>
        </is>
      </c>
      <c r="D296" s="238" t="n"/>
      <c r="E296" s="238" t="n"/>
    </row>
    <row r="297" ht="24.6" customHeight="1">
      <c r="A297" s="242" t="inlineStr">
        <is>
          <t>o_difficulty_seed_type</t>
        </is>
      </c>
      <c r="B297" s="242" t="inlineStr">
        <is>
          <t>seeds_market</t>
        </is>
      </c>
      <c r="C297" s="242" t="inlineStr">
        <is>
          <t>Seeds are not available from local market</t>
        </is>
      </c>
      <c r="D297" s="238" t="n"/>
      <c r="E297" s="238" t="n"/>
    </row>
    <row r="298" ht="24.6" customHeight="1">
      <c r="A298" s="242" t="inlineStr">
        <is>
          <t>o_difficulty_seed_type</t>
        </is>
      </c>
      <c r="B298" s="242" t="inlineStr">
        <is>
          <t>seed_available</t>
        </is>
      </c>
      <c r="C298" s="242" t="inlineStr">
        <is>
          <t>Seed varieties usually used are not available</t>
        </is>
      </c>
      <c r="D298" s="238" t="n"/>
      <c r="E298" s="238" t="n"/>
    </row>
    <row r="299">
      <c r="A299" s="242" t="inlineStr">
        <is>
          <t>o_difficulty_seed_type</t>
        </is>
      </c>
      <c r="B299" s="242" t="inlineStr">
        <is>
          <t>prices_usual</t>
        </is>
      </c>
      <c r="C299" s="242" t="inlineStr">
        <is>
          <t>Prices of seeds are higher than usual</t>
        </is>
      </c>
      <c r="D299" s="238" t="n"/>
      <c r="E299" s="238" t="n"/>
    </row>
    <row r="300" ht="24.6" customHeight="1">
      <c r="A300" s="242" t="inlineStr">
        <is>
          <t>o_difficulty_seed_type</t>
        </is>
      </c>
      <c r="B300" s="242" t="inlineStr">
        <is>
          <t>insufficient_income</t>
        </is>
      </c>
      <c r="C300" s="242" t="inlineStr">
        <is>
          <t>Household’s income is insufficient to buy seeds</t>
        </is>
      </c>
      <c r="D300" s="238" t="n"/>
      <c r="E300" s="238" t="n"/>
    </row>
    <row r="301" ht="24.6" customHeight="1">
      <c r="A301" s="242" t="inlineStr">
        <is>
          <t>o_difficulty_seed_type</t>
        </is>
      </c>
      <c r="B301" s="242" t="inlineStr">
        <is>
          <t>not_seeds</t>
        </is>
      </c>
      <c r="C301" s="242" t="inlineStr">
        <is>
          <t>Not able or not allowed to go to the market to buy seeds</t>
        </is>
      </c>
      <c r="D301" s="238" t="n"/>
      <c r="E301" s="238" t="n"/>
    </row>
    <row r="302">
      <c r="A302" s="242" t="inlineStr">
        <is>
          <t>o_difficulty_seed_type</t>
        </is>
      </c>
      <c r="B302" s="242" t="inlineStr">
        <is>
          <t>seeds_quality</t>
        </is>
      </c>
      <c r="C302" s="242" t="inlineStr">
        <is>
          <t>Seeds are of poor quality</t>
        </is>
      </c>
      <c r="D302" s="238" t="n"/>
      <c r="E302" s="238" t="n"/>
    </row>
    <row r="303">
      <c r="A303" s="242" t="inlineStr">
        <is>
          <t>o_difficulty_seed_type</t>
        </is>
      </c>
      <c r="B303" s="242" t="inlineStr">
        <is>
          <t>other</t>
        </is>
      </c>
      <c r="C303" s="242" t="inlineStr">
        <is>
          <t>Other, please specify</t>
        </is>
      </c>
      <c r="D303" s="238" t="n"/>
      <c r="E303" s="238" t="n"/>
    </row>
    <row r="304">
      <c r="D304" s="4" t="n"/>
      <c r="E304" s="4" t="n"/>
    </row>
    <row r="305">
      <c r="D305" s="4" t="n"/>
      <c r="E305" s="4" t="n"/>
    </row>
    <row r="306">
      <c r="A306" s="238" t="inlineStr">
        <is>
          <t>reasons_less_planted</t>
        </is>
      </c>
      <c r="B306" s="238" t="n">
        <v>1</v>
      </c>
      <c r="C306" s="238" t="inlineStr">
        <is>
          <t>Less land available</t>
        </is>
      </c>
      <c r="D306" s="238" t="n"/>
      <c r="E306" s="238" t="n"/>
    </row>
    <row r="307">
      <c r="A307" s="238" t="inlineStr">
        <is>
          <t>reasons_less_planted</t>
        </is>
      </c>
      <c r="B307" s="238" t="n">
        <v>2</v>
      </c>
      <c r="C307" s="238" t="inlineStr">
        <is>
          <t>less water available</t>
        </is>
      </c>
      <c r="D307" s="238" t="n"/>
      <c r="E307" s="238" t="n"/>
    </row>
    <row r="308">
      <c r="A308" s="238" t="inlineStr">
        <is>
          <t>reasons_less_planted</t>
        </is>
      </c>
      <c r="B308" s="238" t="n">
        <v>3</v>
      </c>
      <c r="C308" s="238" t="inlineStr">
        <is>
          <t xml:space="preserve">less labour available/Migration of the family member </t>
        </is>
      </c>
      <c r="D308" s="238" t="n"/>
      <c r="E308" s="238" t="n"/>
    </row>
    <row r="309">
      <c r="A309" s="238" t="inlineStr">
        <is>
          <t>reasons_less_planted</t>
        </is>
      </c>
      <c r="B309" s="238" t="n">
        <v>4</v>
      </c>
      <c r="C309" s="238" t="inlineStr">
        <is>
          <t>Lack of inputs (seeds,fertilizer)</t>
        </is>
      </c>
      <c r="D309" s="238" t="n"/>
      <c r="E309" s="238" t="n"/>
    </row>
    <row r="310">
      <c r="A310" s="238" t="inlineStr">
        <is>
          <t>reasons_less_planted</t>
        </is>
      </c>
      <c r="B310" s="238" t="n">
        <v>5</v>
      </c>
      <c r="C310" s="238" t="inlineStr">
        <is>
          <t>less market opportunities for surplus production</t>
        </is>
      </c>
      <c r="D310" s="238" t="n"/>
      <c r="E310" s="238" t="n"/>
    </row>
    <row r="311">
      <c r="A311" s="238" t="inlineStr">
        <is>
          <t>reasons_less_planted</t>
        </is>
      </c>
      <c r="B311" s="238" t="n">
        <v>6</v>
      </c>
      <c r="C311" s="238" t="inlineStr">
        <is>
          <t xml:space="preserve">Security - lack of access to plot </t>
        </is>
      </c>
      <c r="D311" s="238" t="n"/>
      <c r="E311" s="238" t="n"/>
    </row>
    <row r="312">
      <c r="A312" s="238" t="inlineStr">
        <is>
          <t>reasons_less_planted</t>
        </is>
      </c>
      <c r="B312" s="238" t="n">
        <v>7</v>
      </c>
      <c r="C312" s="238" t="inlineStr">
        <is>
          <t xml:space="preserve">Land grabing </t>
        </is>
      </c>
      <c r="D312" s="238" t="n"/>
      <c r="E312" s="238" t="n"/>
    </row>
    <row r="313">
      <c r="A313" s="238" t="n"/>
      <c r="B313" s="238" t="n"/>
      <c r="C313" s="238" t="n"/>
      <c r="D313" s="238" t="n"/>
      <c r="E313" s="238" t="n"/>
    </row>
    <row r="314">
      <c r="A314" s="243" t="inlineStr">
        <is>
          <t>reasons_waterlack</t>
        </is>
      </c>
      <c r="B314" s="238" t="n">
        <v>1</v>
      </c>
      <c r="C314" s="238" t="inlineStr">
        <is>
          <t>irrigation is not available as before</t>
        </is>
      </c>
      <c r="D314" s="238" t="n"/>
      <c r="E314" s="238" t="n"/>
    </row>
    <row r="315" ht="43.2" customHeight="1">
      <c r="A315" s="243" t="inlineStr">
        <is>
          <t>reasons_waterlack</t>
        </is>
      </c>
      <c r="B315" s="238" t="n">
        <v>2</v>
      </c>
      <c r="C315" s="244" t="inlineStr">
        <is>
          <t>if there is another drought and crops fail, all my investment will be vain</t>
        </is>
      </c>
      <c r="D315" s="238" t="n"/>
      <c r="E315" s="238" t="n"/>
    </row>
    <row r="316">
      <c r="A316" s="238" t="n"/>
      <c r="B316" s="238" t="n"/>
      <c r="C316" s="238" t="n"/>
      <c r="D316" s="238" t="n"/>
      <c r="E316" s="238" t="n"/>
    </row>
    <row r="317" ht="28.8" customHeight="1">
      <c r="A317" s="243" t="inlineStr">
        <is>
          <t>reasons_accessinputs</t>
        </is>
      </c>
      <c r="B317" s="238" t="n">
        <v>1</v>
      </c>
      <c r="C317" s="244" t="inlineStr">
        <is>
          <t>I have less money available for fertlizer, seeds, etc.</t>
        </is>
      </c>
      <c r="D317" s="238" t="n"/>
      <c r="E317" s="238" t="n"/>
    </row>
    <row r="318" ht="28.8" customHeight="1">
      <c r="A318" s="243" t="inlineStr">
        <is>
          <t>reasons_accessinputs</t>
        </is>
      </c>
      <c r="B318" s="238" t="n">
        <v>2</v>
      </c>
      <c r="C318" s="244" t="inlineStr">
        <is>
          <t>inputs are not available in the market</t>
        </is>
      </c>
      <c r="D318" s="238" t="n"/>
      <c r="E318" s="238" t="n"/>
    </row>
    <row r="319" ht="57.6" customHeight="1">
      <c r="A319" s="243" t="inlineStr">
        <is>
          <t>reasons_accessinputs</t>
        </is>
      </c>
      <c r="B319" s="238" t="n">
        <v>3</v>
      </c>
      <c r="C319" s="244" t="inlineStr">
        <is>
          <t>inputs are much more expensive in the market, and I my usual allocation is not enough</t>
        </is>
      </c>
      <c r="D319" s="238" t="n"/>
      <c r="E319" s="238" t="n"/>
    </row>
    <row r="320">
      <c r="D320" s="4" t="n"/>
      <c r="E320" s="4" t="n"/>
    </row>
    <row r="321">
      <c r="D321" s="4" t="n"/>
      <c r="E321" s="4" t="n"/>
    </row>
    <row r="322">
      <c r="A322" s="223" t="inlineStr">
        <is>
          <t>harv_unit</t>
        </is>
      </c>
      <c r="B322" s="223" t="n">
        <v>1</v>
      </c>
      <c r="C322" s="223" t="inlineStr">
        <is>
          <t>Kilograms [kgs]</t>
        </is>
      </c>
      <c r="D322" s="4" t="n"/>
      <c r="E322" s="4" t="n"/>
    </row>
    <row r="323">
      <c r="A323" s="223" t="inlineStr">
        <is>
          <t>harv_unit</t>
        </is>
      </c>
      <c r="B323" s="223" t="n">
        <v>2</v>
      </c>
      <c r="C323" s="223" t="inlineStr">
        <is>
          <t>Tonnes</t>
        </is>
      </c>
      <c r="D323" s="4" t="n"/>
      <c r="E323" s="4" t="n"/>
    </row>
    <row r="324">
      <c r="A324" s="223" t="inlineStr">
        <is>
          <t>harv_unit</t>
        </is>
      </c>
      <c r="B324" s="223" t="n">
        <v>3</v>
      </c>
      <c r="C324" s="223" t="inlineStr">
        <is>
          <t>Ounces</t>
        </is>
      </c>
      <c r="D324" s="4" t="n"/>
      <c r="E324" s="4" t="n"/>
    </row>
    <row r="325">
      <c r="A325" s="223" t="inlineStr">
        <is>
          <t>harv_unit</t>
        </is>
      </c>
      <c r="B325" s="223" t="n">
        <v>4</v>
      </c>
      <c r="C325" s="223" t="inlineStr">
        <is>
          <t>Pounds</t>
        </is>
      </c>
      <c r="D325" s="4" t="n"/>
      <c r="E325" s="4" t="n"/>
    </row>
    <row r="326">
      <c r="A326" s="223" t="inlineStr">
        <is>
          <t>harv_unit</t>
        </is>
      </c>
      <c r="B326" s="223" t="n">
        <v>5</v>
      </c>
      <c r="C326" s="223" t="inlineStr">
        <is>
          <t>Bags</t>
        </is>
      </c>
      <c r="D326" s="4" t="n"/>
      <c r="E326" s="4" t="n"/>
    </row>
    <row r="327">
      <c r="A327" s="223" t="inlineStr">
        <is>
          <t>harv_unit</t>
        </is>
      </c>
      <c r="B327" s="223" t="n">
        <v>6</v>
      </c>
      <c r="C327" s="223" t="inlineStr">
        <is>
          <t>Boxes</t>
        </is>
      </c>
      <c r="D327" s="4" t="n"/>
      <c r="E327" s="4" t="n"/>
    </row>
    <row r="328">
      <c r="A328" s="223" t="inlineStr">
        <is>
          <t>harv_unit</t>
        </is>
      </c>
      <c r="B328" s="223" t="n">
        <v>7</v>
      </c>
      <c r="C328" s="223" t="inlineStr">
        <is>
          <t>Bundles</t>
        </is>
      </c>
      <c r="D328" s="4" t="n"/>
      <c r="E328" s="4" t="n"/>
    </row>
    <row r="329">
      <c r="A329" s="223" t="inlineStr">
        <is>
          <t>harv_unit</t>
        </is>
      </c>
      <c r="B329" s="223" t="n">
        <v>8</v>
      </c>
      <c r="C329" s="223" t="inlineStr">
        <is>
          <t>Packets</t>
        </is>
      </c>
      <c r="D329" s="4" t="n"/>
      <c r="E329" s="4" t="n"/>
    </row>
    <row r="330">
      <c r="A330" s="223" t="inlineStr">
        <is>
          <t>harv_unit</t>
        </is>
      </c>
      <c r="B330" s="223" t="n">
        <v>9</v>
      </c>
      <c r="C330" s="223" t="inlineStr">
        <is>
          <t>Other [specify]</t>
        </is>
      </c>
      <c r="D330" s="4" t="n"/>
      <c r="E330" s="4" t="n"/>
    </row>
    <row r="331">
      <c r="D331" s="4" t="n"/>
      <c r="E331" s="4" t="n"/>
    </row>
    <row r="332">
      <c r="A332" s="222" t="inlineStr">
        <is>
          <t>cropproddiff</t>
        </is>
      </c>
      <c r="B332" s="222" t="inlineStr">
        <is>
          <t>plant_disease</t>
        </is>
      </c>
      <c r="C332" s="222" t="inlineStr">
        <is>
          <t xml:space="preserve">Plant disease </t>
        </is>
      </c>
      <c r="D332" s="4" t="n"/>
      <c r="E332" s="4" t="n"/>
    </row>
    <row r="333">
      <c r="A333" s="222" t="inlineStr">
        <is>
          <t>cropproddiff</t>
        </is>
      </c>
      <c r="B333" s="222" t="inlineStr">
        <is>
          <t>pest_outbreak</t>
        </is>
      </c>
      <c r="C333" s="222" t="inlineStr">
        <is>
          <t>Pest outbreak [including birds]</t>
        </is>
      </c>
      <c r="D333" s="4" t="n"/>
      <c r="E333" s="4" t="n"/>
    </row>
    <row r="334">
      <c r="A334" s="222" t="inlineStr">
        <is>
          <t>cropproddiff</t>
        </is>
      </c>
      <c r="B334" s="222" t="inlineStr">
        <is>
          <t>animal_grazing</t>
        </is>
      </c>
      <c r="C334" s="222" t="inlineStr">
        <is>
          <t>Uncontrolled animal grazing</t>
        </is>
      </c>
      <c r="D334" s="4" t="n"/>
      <c r="E334" s="4" t="n"/>
    </row>
    <row r="335">
      <c r="A335" s="222" t="inlineStr">
        <is>
          <t>cropproddiff</t>
        </is>
      </c>
      <c r="B335" s="222" t="inlineStr">
        <is>
          <t>access_plot</t>
        </is>
      </c>
      <c r="C335" s="222" t="inlineStr">
        <is>
          <t>Access to plot</t>
        </is>
      </c>
      <c r="D335" s="4" t="n"/>
      <c r="E335" s="4" t="n"/>
    </row>
    <row r="336">
      <c r="A336" s="222" t="inlineStr">
        <is>
          <t>cropproddiff</t>
        </is>
      </c>
      <c r="B336" s="222" t="inlineStr">
        <is>
          <t>access_fertilize</t>
        </is>
      </c>
      <c r="C336" s="222" t="inlineStr">
        <is>
          <t>Access to fertilizer [not available on markets or prices too high]</t>
        </is>
      </c>
      <c r="D336" s="4" t="n"/>
      <c r="E336" s="4" t="n"/>
    </row>
    <row r="337">
      <c r="A337" s="222" t="inlineStr">
        <is>
          <t>cropproddiff</t>
        </is>
      </c>
      <c r="B337" s="222" t="inlineStr">
        <is>
          <t>seed_quality</t>
        </is>
      </c>
      <c r="C337" s="222" t="inlineStr">
        <is>
          <t>Access to quality seeds</t>
        </is>
      </c>
      <c r="D337" s="4" t="n"/>
      <c r="E337" s="4" t="n"/>
    </row>
    <row r="338">
      <c r="A338" s="222" t="inlineStr">
        <is>
          <t>cropproddiff</t>
        </is>
      </c>
      <c r="B338" s="222" t="inlineStr">
        <is>
          <t>seed_quantity</t>
        </is>
      </c>
      <c r="C338" s="222" t="inlineStr">
        <is>
          <t>Access to enough seeds [not available on markets or prices too high]</t>
        </is>
      </c>
      <c r="D338" s="4" t="n"/>
      <c r="E338" s="4" t="n"/>
    </row>
    <row r="339">
      <c r="A339" s="222" t="inlineStr">
        <is>
          <t>cropproddiff</t>
        </is>
      </c>
      <c r="B339" s="222" t="inlineStr">
        <is>
          <t>access_pesticide</t>
        </is>
      </c>
      <c r="C339" s="222" t="inlineStr">
        <is>
          <t>Access to pesticides</t>
        </is>
      </c>
      <c r="D339" s="4" t="n"/>
      <c r="E339" s="4" t="n"/>
    </row>
    <row r="340">
      <c r="A340" s="222" t="inlineStr">
        <is>
          <t>cropproddiff</t>
        </is>
      </c>
      <c r="B340" s="222" t="inlineStr">
        <is>
          <t>access_labour</t>
        </is>
      </c>
      <c r="C340" s="222" t="inlineStr">
        <is>
          <t>Access to manpower labour</t>
        </is>
      </c>
      <c r="D340" s="4" t="n"/>
      <c r="E340" s="4" t="n"/>
    </row>
    <row r="341">
      <c r="A341" s="222" t="inlineStr">
        <is>
          <t>cropproddiff</t>
        </is>
      </c>
      <c r="B341" s="222" t="inlineStr">
        <is>
          <t>access_machinery</t>
        </is>
      </c>
      <c r="C341" s="222" t="inlineStr">
        <is>
          <t>Access to machinery, tools or animals for ploughing</t>
        </is>
      </c>
      <c r="D341" s="4" t="n"/>
      <c r="E341" s="4" t="n"/>
    </row>
    <row r="342">
      <c r="A342" s="222" t="inlineStr">
        <is>
          <t>cropproddiff</t>
        </is>
      </c>
      <c r="B342" s="222" t="inlineStr">
        <is>
          <t>access_fuel</t>
        </is>
      </c>
      <c r="C342" s="222" t="inlineStr">
        <is>
          <t>Access to fuel or electricity to power agricultural equipment</t>
        </is>
      </c>
      <c r="D342" s="4" t="n"/>
      <c r="E342" s="4" t="n"/>
    </row>
    <row r="343">
      <c r="A343" s="222" t="inlineStr">
        <is>
          <t>cropproddiff</t>
        </is>
      </c>
      <c r="B343" s="222" t="inlineStr">
        <is>
          <t>soil_erosion</t>
        </is>
      </c>
      <c r="C343" s="222" t="inlineStr">
        <is>
          <t>Soil erosion</t>
        </is>
      </c>
      <c r="D343" s="4" t="n"/>
      <c r="E343" s="4" t="n"/>
    </row>
    <row r="344">
      <c r="A344" s="222" t="inlineStr">
        <is>
          <t>cropproddiff</t>
        </is>
      </c>
      <c r="B344" s="222" t="inlineStr">
        <is>
          <t>lack_irrigation</t>
        </is>
      </c>
      <c r="C344" s="222" t="inlineStr">
        <is>
          <t xml:space="preserve">Not enough irrigation or rainfall water </t>
        </is>
      </c>
      <c r="D344" s="4" t="n"/>
      <c r="E344" s="4" t="n"/>
    </row>
    <row r="345">
      <c r="A345" s="222" t="inlineStr">
        <is>
          <t>cropproddiff</t>
        </is>
      </c>
      <c r="B345" s="222" t="inlineStr">
        <is>
          <t>excess_water</t>
        </is>
      </c>
      <c r="C345" s="222" t="inlineStr">
        <is>
          <t>Too much irrigation or water</t>
        </is>
      </c>
      <c r="D345" s="4" t="n"/>
      <c r="E345" s="4" t="n"/>
    </row>
    <row r="346">
      <c r="A346" s="222" t="inlineStr">
        <is>
          <t>cropproddiff</t>
        </is>
      </c>
      <c r="B346" s="222" t="inlineStr">
        <is>
          <t>access_credit</t>
        </is>
      </c>
      <c r="C346" s="222" t="inlineStr">
        <is>
          <t>Access to credit</t>
        </is>
      </c>
      <c r="D346" s="4" t="n"/>
      <c r="E346" s="4" t="n"/>
    </row>
    <row r="347">
      <c r="A347" s="222" t="inlineStr">
        <is>
          <t>cropproddiff</t>
        </is>
      </c>
      <c r="B347" s="222" t="inlineStr">
        <is>
          <t>other</t>
        </is>
      </c>
      <c r="C347" s="222" t="inlineStr">
        <is>
          <t>Other</t>
        </is>
      </c>
      <c r="D347" s="4" t="n"/>
      <c r="E347" s="4" t="n"/>
    </row>
    <row r="348">
      <c r="A348" s="222" t="inlineStr">
        <is>
          <t>cropproddiff</t>
        </is>
      </c>
      <c r="B348" s="222" t="inlineStr">
        <is>
          <t>dk</t>
        </is>
      </c>
      <c r="C348" s="222" t="inlineStr">
        <is>
          <t>DON'T KNOW</t>
        </is>
      </c>
      <c r="D348" s="4" t="n"/>
      <c r="E348" s="4" t="n"/>
    </row>
    <row r="349">
      <c r="A349" s="222" t="inlineStr">
        <is>
          <t>cropproddiff</t>
        </is>
      </c>
      <c r="B349" s="222" t="inlineStr">
        <is>
          <t>ref</t>
        </is>
      </c>
      <c r="C349" s="222" t="inlineStr">
        <is>
          <t>REFUSED</t>
        </is>
      </c>
      <c r="D349" s="4" t="n"/>
      <c r="E349" s="4" t="n"/>
    </row>
    <row r="350">
      <c r="D350" s="4" t="n"/>
      <c r="E350" s="4" t="n"/>
    </row>
    <row r="351" customFormat="1" s="13">
      <c r="A351" s="223" t="inlineStr">
        <is>
          <t>storage</t>
        </is>
      </c>
      <c r="B351" s="223" t="n">
        <v>1</v>
      </c>
      <c r="C351" s="223" t="inlineStr">
        <is>
          <t>None</t>
        </is>
      </c>
      <c r="D351" s="15" t="n"/>
      <c r="E351" s="15" t="n"/>
    </row>
    <row r="352" customFormat="1" s="13">
      <c r="A352" s="223" t="inlineStr">
        <is>
          <t>storage</t>
        </is>
      </c>
      <c r="B352" s="223" t="n">
        <v>2</v>
      </c>
      <c r="C352" s="223" t="inlineStr">
        <is>
          <t>A little</t>
        </is>
      </c>
      <c r="D352" s="15" t="n"/>
      <c r="E352" s="15" t="n"/>
    </row>
    <row r="353" customFormat="1" s="13">
      <c r="A353" s="223" t="inlineStr">
        <is>
          <t>storage</t>
        </is>
      </c>
      <c r="B353" s="223" t="n">
        <v>3</v>
      </c>
      <c r="C353" s="223" t="inlineStr">
        <is>
          <t>An important part of it, but less than half</t>
        </is>
      </c>
      <c r="D353" s="15" t="n"/>
      <c r="E353" s="15" t="n"/>
    </row>
    <row r="354" customFormat="1" s="13">
      <c r="A354" s="223" t="inlineStr">
        <is>
          <t>storage</t>
        </is>
      </c>
      <c r="B354" s="223" t="n">
        <v>4</v>
      </c>
      <c r="C354" s="223" t="inlineStr">
        <is>
          <t>Most of it [half or more]</t>
        </is>
      </c>
      <c r="D354" s="15" t="n"/>
      <c r="E354" s="15" t="n"/>
    </row>
    <row r="355" customFormat="1" s="13">
      <c r="A355" s="223" t="inlineStr">
        <is>
          <t>storage</t>
        </is>
      </c>
      <c r="B355" s="223" t="n">
        <v>5</v>
      </c>
      <c r="C355" s="223" t="inlineStr">
        <is>
          <t>Almost everything</t>
        </is>
      </c>
      <c r="D355" s="15" t="n"/>
      <c r="E355" s="15" t="n"/>
    </row>
    <row r="356" customFormat="1" s="13">
      <c r="A356" s="223" t="inlineStr">
        <is>
          <t>storage</t>
        </is>
      </c>
      <c r="B356" s="223" t="n">
        <v>6</v>
      </c>
      <c r="C356" s="223" t="inlineStr">
        <is>
          <t>Everything</t>
        </is>
      </c>
      <c r="D356" s="15" t="n"/>
      <c r="E356" s="15" t="n"/>
    </row>
    <row r="357" customFormat="1" s="13">
      <c r="A357" s="223" t="inlineStr">
        <is>
          <t>storage</t>
        </is>
      </c>
      <c r="B357" s="223" t="n">
        <v>7</v>
      </c>
      <c r="C357" s="223" t="inlineStr">
        <is>
          <t>DON'T KNOW</t>
        </is>
      </c>
      <c r="D357" s="15" t="n"/>
      <c r="E357" s="15" t="n"/>
    </row>
    <row r="358">
      <c r="A358" s="223" t="inlineStr">
        <is>
          <t>storage</t>
        </is>
      </c>
      <c r="B358" s="223" t="n">
        <v>8</v>
      </c>
      <c r="C358" s="223" t="inlineStr">
        <is>
          <t>REFUSED</t>
        </is>
      </c>
      <c r="D358" s="15" t="n"/>
      <c r="E358" s="15" t="n"/>
      <c r="F358" s="13" t="n"/>
    </row>
    <row r="359">
      <c r="D359" s="4" t="n"/>
      <c r="E359" s="4" t="n"/>
    </row>
    <row r="360">
      <c r="A360" t="inlineStr">
        <is>
          <t>cropsalesdiff</t>
        </is>
      </c>
      <c r="B360" t="inlineStr">
        <is>
          <t>marketing_cost</t>
        </is>
      </c>
      <c r="C360" t="inlineStr">
        <is>
          <t>High transportation or other marketing costs</t>
        </is>
      </c>
      <c r="D360" s="4" t="n"/>
      <c r="E360" s="4" t="n"/>
    </row>
    <row r="361">
      <c r="A361" t="inlineStr">
        <is>
          <t>cropsalesdiff</t>
        </is>
      </c>
      <c r="B361" t="inlineStr">
        <is>
          <t>damage_losses</t>
        </is>
      </c>
      <c r="C361" t="inlineStr">
        <is>
          <t>Damages and losses due to storage difficulties and/or difficulty accessing the market [e.g. insecurity, poor infrastructure, etc.]</t>
        </is>
      </c>
      <c r="D361" s="4" t="n"/>
      <c r="E361" s="4" t="n"/>
    </row>
    <row r="362">
      <c r="A362" t="inlineStr">
        <is>
          <t>cropsalesdiff</t>
        </is>
      </c>
      <c r="B362" t="inlineStr">
        <is>
          <t>low_demand</t>
        </is>
      </c>
      <c r="C362" t="inlineStr">
        <is>
          <t xml:space="preserve">Lack of demand from usual traders or buyers </t>
        </is>
      </c>
      <c r="D362" s="4" t="n"/>
      <c r="E362" s="4" t="n"/>
    </row>
    <row r="363">
      <c r="A363" t="inlineStr">
        <is>
          <t>cropsalesdiff</t>
        </is>
      </c>
      <c r="B363" t="inlineStr">
        <is>
          <t>pay_delay</t>
        </is>
      </c>
      <c r="C363" t="inlineStr">
        <is>
          <t>Payment delays from traders / buyers</t>
        </is>
      </c>
      <c r="D363" s="4" t="n"/>
      <c r="E363" s="4" t="n"/>
    </row>
    <row r="364">
      <c r="A364" t="inlineStr">
        <is>
          <t>cropsalesdiff</t>
        </is>
      </c>
      <c r="B364" t="inlineStr">
        <is>
          <t>low_price</t>
        </is>
      </c>
      <c r="C364" t="inlineStr">
        <is>
          <t>Low selling prices [e.g. compared to input prices / inflation]</t>
        </is>
      </c>
      <c r="D364" s="4" t="n"/>
      <c r="E364" s="4" t="n"/>
    </row>
    <row r="365">
      <c r="A365" t="inlineStr">
        <is>
          <t>cropsalesdiff</t>
        </is>
      </c>
      <c r="B365" t="inlineStr">
        <is>
          <t>processing</t>
        </is>
      </c>
      <c r="C365" t="inlineStr">
        <is>
          <t>Difficulty processing product [lack of processing inputs / equipment / etc]</t>
        </is>
      </c>
      <c r="D365" s="4" t="n"/>
      <c r="E365" s="4" t="n"/>
    </row>
    <row r="366">
      <c r="A366" t="inlineStr">
        <is>
          <t>cropsalesdiff</t>
        </is>
      </c>
      <c r="B366" t="inlineStr">
        <is>
          <t>competition</t>
        </is>
      </c>
      <c r="C366" t="inlineStr">
        <is>
          <t>Market flooded with products</t>
        </is>
      </c>
      <c r="D366" s="4" t="n"/>
      <c r="E366" s="4" t="n"/>
    </row>
    <row r="367">
      <c r="A367" t="inlineStr">
        <is>
          <t>cropsalesdiff</t>
        </is>
      </c>
      <c r="B367" t="inlineStr">
        <is>
          <t>other</t>
        </is>
      </c>
      <c r="C367" t="inlineStr">
        <is>
          <t>Other</t>
        </is>
      </c>
      <c r="D367" s="4" t="n"/>
      <c r="E367" s="4" t="n"/>
    </row>
    <row r="368">
      <c r="A368" t="inlineStr">
        <is>
          <t>cropsalesdiff</t>
        </is>
      </c>
      <c r="B368" t="inlineStr">
        <is>
          <t>dk</t>
        </is>
      </c>
      <c r="C368" t="inlineStr">
        <is>
          <t>DON'T KNOW</t>
        </is>
      </c>
      <c r="D368" s="4" t="n"/>
      <c r="E368" s="4" t="n"/>
    </row>
    <row r="369">
      <c r="A369" t="inlineStr">
        <is>
          <t>cropsalesdiff</t>
        </is>
      </c>
      <c r="B369" t="inlineStr">
        <is>
          <t>ref</t>
        </is>
      </c>
      <c r="C369" t="inlineStr">
        <is>
          <t>REFUSED</t>
        </is>
      </c>
      <c r="D369" s="4" t="n"/>
      <c r="E369" s="4" t="n"/>
    </row>
    <row r="370">
      <c r="D370" s="4" t="n"/>
      <c r="E370" s="4" t="n"/>
    </row>
    <row r="371">
      <c r="A371" t="inlineStr">
        <is>
          <t>lsmain</t>
        </is>
      </c>
      <c r="B371" t="n">
        <v>1</v>
      </c>
      <c r="C371" t="inlineStr">
        <is>
          <t>Cattle [cow / beef / veal / yak / buffalo]</t>
        </is>
      </c>
      <c r="D371" s="4" t="n"/>
      <c r="E371" s="4" t="n"/>
    </row>
    <row r="372">
      <c r="A372" t="inlineStr">
        <is>
          <t>lsmain</t>
        </is>
      </c>
      <c r="B372" t="n">
        <v>2</v>
      </c>
      <c r="C372" t="inlineStr">
        <is>
          <t>Goat</t>
        </is>
      </c>
      <c r="D372" s="4" t="n"/>
      <c r="E372" s="4" t="n"/>
    </row>
    <row r="373">
      <c r="A373" t="inlineStr">
        <is>
          <t>lsmain</t>
        </is>
      </c>
      <c r="B373" t="n">
        <v>3</v>
      </c>
      <c r="C373" t="inlineStr">
        <is>
          <t>Sheep</t>
        </is>
      </c>
      <c r="D373" s="4" t="n"/>
      <c r="E373" s="4" t="n"/>
    </row>
    <row r="374">
      <c r="A374" t="inlineStr">
        <is>
          <t>lsmain</t>
        </is>
      </c>
      <c r="B374" t="n">
        <v>4</v>
      </c>
      <c r="C374" t="inlineStr">
        <is>
          <t>Swine [swine / boar / hog / etc]</t>
        </is>
      </c>
      <c r="D374" s="4" t="n"/>
      <c r="E374" s="4" t="n"/>
    </row>
    <row r="375">
      <c r="A375" t="inlineStr">
        <is>
          <t>lsmain</t>
        </is>
      </c>
      <c r="B375" t="n">
        <v>5</v>
      </c>
      <c r="C375" t="inlineStr">
        <is>
          <t>Equine [donkey / horse / etc]</t>
        </is>
      </c>
      <c r="D375" s="4" t="n"/>
      <c r="E375" s="4" t="n"/>
    </row>
    <row r="376">
      <c r="A376" t="inlineStr">
        <is>
          <t>lsmain</t>
        </is>
      </c>
      <c r="B376" t="n">
        <v>6</v>
      </c>
      <c r="C376" t="inlineStr">
        <is>
          <t>Small domesticated mammals [rabbits / minks / guinea pigs / etc]</t>
        </is>
      </c>
      <c r="D376" s="4" t="n"/>
      <c r="E376" s="4" t="n"/>
    </row>
    <row r="377">
      <c r="A377" t="inlineStr">
        <is>
          <t>lsmain</t>
        </is>
      </c>
      <c r="B377" t="n">
        <v>7</v>
      </c>
      <c r="C377" t="inlineStr">
        <is>
          <t>Poultry [chicken / guineafowl / duck / quail / turkey / etc]</t>
        </is>
      </c>
      <c r="D377" s="4" t="n"/>
      <c r="E377" s="4" t="n"/>
    </row>
    <row r="378">
      <c r="A378" t="inlineStr">
        <is>
          <t>lsmain</t>
        </is>
      </c>
      <c r="B378" t="n">
        <v>8</v>
      </c>
      <c r="C378" t="inlineStr">
        <is>
          <t>Camelids</t>
        </is>
      </c>
      <c r="D378" s="4" t="n"/>
      <c r="E378" s="4" t="n"/>
    </row>
    <row r="379">
      <c r="A379" t="inlineStr">
        <is>
          <t>lsmain</t>
        </is>
      </c>
      <c r="B379" t="n">
        <v>9</v>
      </c>
      <c r="C379" t="inlineStr">
        <is>
          <t>Other</t>
        </is>
      </c>
      <c r="D379" s="4" t="n"/>
      <c r="E379" s="4" t="n"/>
    </row>
    <row r="380">
      <c r="A380" t="inlineStr">
        <is>
          <t>lsmain</t>
        </is>
      </c>
      <c r="B380" s="221" t="n">
        <v>10</v>
      </c>
      <c r="C380" t="inlineStr">
        <is>
          <t>DON'T KNOW</t>
        </is>
      </c>
      <c r="D380" s="4" t="n"/>
      <c r="E380" s="4" t="n"/>
    </row>
    <row r="381">
      <c r="A381" t="inlineStr">
        <is>
          <t>lsmain</t>
        </is>
      </c>
      <c r="B381" s="221" t="n">
        <v>11</v>
      </c>
      <c r="C381" t="inlineStr">
        <is>
          <t>REFUSED</t>
        </is>
      </c>
      <c r="D381" s="4" t="n"/>
      <c r="E381" s="4" t="n"/>
    </row>
    <row r="382">
      <c r="D382" s="4" t="n"/>
      <c r="E382" s="4" t="n"/>
    </row>
    <row r="383">
      <c r="A383" t="inlineStr">
        <is>
          <t>lsnum</t>
        </is>
      </c>
      <c r="B383" t="inlineStr">
        <is>
          <t>no_change</t>
        </is>
      </c>
      <c r="C383" t="inlineStr">
        <is>
          <t>No significant change in livestock number</t>
        </is>
      </c>
      <c r="D383" s="4" t="n"/>
      <c r="E383" s="4" t="n"/>
    </row>
    <row r="384">
      <c r="A384" t="inlineStr">
        <is>
          <t>lsnum</t>
        </is>
      </c>
      <c r="B384" t="inlineStr">
        <is>
          <t>inc_less_sales</t>
        </is>
      </c>
      <c r="C384" t="inlineStr">
        <is>
          <t>Did not sell as many</t>
        </is>
      </c>
      <c r="D384" s="4" t="n"/>
      <c r="E384" s="4" t="n"/>
    </row>
    <row r="385">
      <c r="A385" t="inlineStr">
        <is>
          <t>lsnum</t>
        </is>
      </c>
      <c r="B385" t="inlineStr">
        <is>
          <t>inc_more_birth</t>
        </is>
      </c>
      <c r="C385" t="inlineStr">
        <is>
          <t>Many more were born</t>
        </is>
      </c>
      <c r="D385" s="4" t="n"/>
      <c r="E385" s="4" t="n"/>
    </row>
    <row r="386">
      <c r="A386" t="inlineStr">
        <is>
          <t>lsnum</t>
        </is>
      </c>
      <c r="B386" t="inlineStr">
        <is>
          <t>inc_more_acquired</t>
        </is>
      </c>
      <c r="C386" t="inlineStr">
        <is>
          <t>Purchased or bartered more animals this year</t>
        </is>
      </c>
      <c r="D386" s="4" t="n"/>
      <c r="E386" s="4" t="n"/>
    </row>
    <row r="387">
      <c r="A387" t="inlineStr">
        <is>
          <t>lsnum</t>
        </is>
      </c>
      <c r="B387" t="inlineStr">
        <is>
          <t>inc_received_free</t>
        </is>
      </c>
      <c r="C387" t="inlineStr">
        <is>
          <t>Received animals for free [restocking, gift]</t>
        </is>
      </c>
      <c r="D387" s="4" t="n"/>
      <c r="E387" s="4" t="n"/>
    </row>
    <row r="388">
      <c r="A388" t="inlineStr">
        <is>
          <t>lsnum</t>
        </is>
      </c>
      <c r="B388" t="inlineStr">
        <is>
          <t>dec_poor_health</t>
        </is>
      </c>
      <c r="C388" t="inlineStr">
        <is>
          <t>Animal death due to malnutrition, drought, lack of feed</t>
        </is>
      </c>
      <c r="D388" s="4" t="n"/>
      <c r="E388" s="4" t="n"/>
    </row>
    <row r="389">
      <c r="A389" t="inlineStr">
        <is>
          <t>lsnum</t>
        </is>
      </c>
      <c r="B389" t="inlineStr">
        <is>
          <t>dec_death</t>
        </is>
      </c>
      <c r="C389" t="inlineStr">
        <is>
          <t>Animal death due to other factors [e.g. diseases, parasites, injury]</t>
        </is>
      </c>
      <c r="D389" s="4" t="n"/>
      <c r="E389" s="4" t="n"/>
    </row>
    <row r="390">
      <c r="A390" t="inlineStr">
        <is>
          <t>lsnum</t>
        </is>
      </c>
      <c r="B390" t="inlineStr">
        <is>
          <t>dec_sales_good_price</t>
        </is>
      </c>
      <c r="C390" t="inlineStr">
        <is>
          <t>Sold more than usual because of good prices</t>
        </is>
      </c>
      <c r="D390" s="4" t="n"/>
      <c r="E390" s="4" t="n"/>
    </row>
    <row r="391">
      <c r="A391" t="inlineStr">
        <is>
          <t>lsnum</t>
        </is>
      </c>
      <c r="B391" t="inlineStr">
        <is>
          <t>dec_sales_distress</t>
        </is>
      </c>
      <c r="C391" t="inlineStr">
        <is>
          <t>Sold more than usual because of distress sales [unable to feed animal, need money urgently for household basic needs even if sales were unsustainable]</t>
        </is>
      </c>
      <c r="D391" s="4" t="n"/>
      <c r="E391" s="4" t="n"/>
    </row>
    <row r="392">
      <c r="A392" t="inlineStr">
        <is>
          <t>lsnum</t>
        </is>
      </c>
      <c r="B392" t="inlineStr">
        <is>
          <t>dec_escape_stolen</t>
        </is>
      </c>
      <c r="C392" t="inlineStr">
        <is>
          <t>Animal escaped or was lost or stolen</t>
        </is>
      </c>
      <c r="D392" s="4" t="n"/>
      <c r="E392" s="4" t="n"/>
    </row>
    <row r="393">
      <c r="A393" t="inlineStr">
        <is>
          <t>lsnum</t>
        </is>
      </c>
      <c r="B393" t="inlineStr">
        <is>
          <t>dec_consumed</t>
        </is>
      </c>
      <c r="C393" t="inlineStr">
        <is>
          <t>Killed or gave away more animals than usual for household consumption or celebrations [marriage, funerals, etc]</t>
        </is>
      </c>
      <c r="D393" s="4" t="n"/>
      <c r="E393" s="4" t="n"/>
    </row>
    <row r="394">
      <c r="A394" t="inlineStr">
        <is>
          <t>lsnum</t>
        </is>
      </c>
      <c r="B394" t="inlineStr">
        <is>
          <t>inc_dec_other</t>
        </is>
      </c>
      <c r="C394" t="inlineStr">
        <is>
          <t>Other</t>
        </is>
      </c>
      <c r="D394" s="4" t="n"/>
      <c r="E394" s="4" t="n"/>
    </row>
    <row r="395">
      <c r="A395" t="inlineStr">
        <is>
          <t>lsnum</t>
        </is>
      </c>
      <c r="B395" t="inlineStr">
        <is>
          <t>inc_dec_dk</t>
        </is>
      </c>
      <c r="C395" t="inlineStr">
        <is>
          <t>DON'T KNOW</t>
        </is>
      </c>
      <c r="D395" s="4" t="n"/>
      <c r="E395" s="4" t="n"/>
    </row>
    <row r="396" ht="14.25" customHeight="1">
      <c r="A396" t="inlineStr">
        <is>
          <t>lsnum</t>
        </is>
      </c>
      <c r="B396" t="inlineStr">
        <is>
          <t>inc_dec_ref</t>
        </is>
      </c>
      <c r="C396" t="inlineStr">
        <is>
          <t>REFUSED</t>
        </is>
      </c>
      <c r="D396" s="4" t="n"/>
      <c r="E396" s="4" t="n"/>
    </row>
    <row r="397" ht="14.25" customHeight="1">
      <c r="D397" s="4" t="n"/>
      <c r="E397" s="4" t="n"/>
    </row>
    <row r="398" ht="14.25" customFormat="1" customHeight="1" s="13">
      <c r="A398" s="223" t="inlineStr">
        <is>
          <t>lsfood</t>
        </is>
      </c>
      <c r="B398" s="223" t="inlineStr">
        <is>
          <t>open_pasture</t>
        </is>
      </c>
      <c r="C398" s="223" t="inlineStr">
        <is>
          <t>Open pasture</t>
        </is>
      </c>
      <c r="D398" s="15" t="n"/>
      <c r="E398" s="15" t="n"/>
    </row>
    <row r="399" ht="14.25" customFormat="1" customHeight="1" s="13">
      <c r="A399" s="223" t="inlineStr">
        <is>
          <t>lsfood</t>
        </is>
      </c>
      <c r="B399" s="223" t="inlineStr">
        <is>
          <t>common_pasture</t>
        </is>
      </c>
      <c r="C399" s="223" t="inlineStr">
        <is>
          <t>Community-managed pasture land</t>
        </is>
      </c>
      <c r="D399" s="15" t="n"/>
      <c r="E399" s="15" t="n"/>
    </row>
    <row r="400" ht="14.25" customFormat="1" customHeight="1" s="13">
      <c r="A400" s="223" t="inlineStr">
        <is>
          <t>lsfood</t>
        </is>
      </c>
      <c r="B400" s="223" t="inlineStr">
        <is>
          <t>self_produced</t>
        </is>
      </c>
      <c r="C400" s="223" t="inlineStr">
        <is>
          <t>Owned or rented field or self-produced fodder</t>
        </is>
      </c>
      <c r="D400" s="15" t="n"/>
      <c r="E400" s="15" t="n"/>
    </row>
    <row r="401" ht="14.25" customFormat="1" customHeight="1" s="13">
      <c r="A401" s="223" t="inlineStr">
        <is>
          <t>lsfood</t>
        </is>
      </c>
      <c r="B401" s="223" t="inlineStr">
        <is>
          <t>purchased</t>
        </is>
      </c>
      <c r="C401" s="223" t="inlineStr">
        <is>
          <t>Purchase feed or fodder at the market</t>
        </is>
      </c>
      <c r="D401" s="15" t="n"/>
      <c r="E401" s="15" t="n"/>
    </row>
    <row r="402" ht="14.25" customFormat="1" customHeight="1" s="13">
      <c r="A402" s="223" t="inlineStr">
        <is>
          <t>lsfood</t>
        </is>
      </c>
      <c r="B402" s="223" t="inlineStr">
        <is>
          <t>free_dist</t>
        </is>
      </c>
      <c r="C402" s="223" t="inlineStr">
        <is>
          <t>Free distribution</t>
        </is>
      </c>
      <c r="D402" s="15" t="n"/>
      <c r="E402" s="15" t="n"/>
    </row>
    <row r="403" ht="14.25" customFormat="1" customHeight="1" s="13">
      <c r="A403" s="223" t="inlineStr">
        <is>
          <t>lsfood</t>
        </is>
      </c>
      <c r="B403" s="223" t="inlineStr">
        <is>
          <t>other</t>
        </is>
      </c>
      <c r="C403" s="223" t="inlineStr">
        <is>
          <t xml:space="preserve">Other </t>
        </is>
      </c>
      <c r="D403" s="15" t="n"/>
      <c r="E403" s="15" t="n"/>
    </row>
    <row r="404" ht="14.25" customFormat="1" customHeight="1" s="13">
      <c r="A404" s="223" t="inlineStr">
        <is>
          <t>lsfood</t>
        </is>
      </c>
      <c r="B404" s="223" t="inlineStr">
        <is>
          <t>dk</t>
        </is>
      </c>
      <c r="C404" s="223" t="inlineStr">
        <is>
          <t>DON'T KNOW</t>
        </is>
      </c>
      <c r="D404" s="15" t="n"/>
      <c r="E404" s="15" t="n"/>
    </row>
    <row r="405" ht="14.25" customFormat="1" customHeight="1" s="13">
      <c r="A405" s="223" t="inlineStr">
        <is>
          <t>lsfood</t>
        </is>
      </c>
      <c r="B405" s="223" t="inlineStr">
        <is>
          <t>ref</t>
        </is>
      </c>
      <c r="C405" s="223" t="inlineStr">
        <is>
          <t>REFUSED</t>
        </is>
      </c>
      <c r="D405" s="15" t="n"/>
      <c r="E405" s="15" t="n"/>
    </row>
    <row r="406" ht="14.25" customHeight="1">
      <c r="D406" s="4" t="n"/>
      <c r="E406" s="4" t="n"/>
    </row>
    <row r="407">
      <c r="A407" t="inlineStr">
        <is>
          <t>lsproddiff</t>
        </is>
      </c>
      <c r="B407" t="inlineStr">
        <is>
          <t>feed_purchase</t>
        </is>
      </c>
      <c r="C407" t="inlineStr">
        <is>
          <t>Difficulty to purchase feed [prices or access to market]</t>
        </is>
      </c>
      <c r="D407" s="4" t="n"/>
      <c r="E407" s="4" t="n"/>
    </row>
    <row r="408">
      <c r="A408" t="inlineStr">
        <is>
          <t>lsproddiff</t>
        </is>
      </c>
      <c r="B408" t="inlineStr">
        <is>
          <t>access_pasture</t>
        </is>
      </c>
      <c r="C408" t="inlineStr">
        <is>
          <t>Access to pasture</t>
        </is>
      </c>
      <c r="D408" s="4" t="n"/>
      <c r="E408" s="4" t="n"/>
    </row>
    <row r="409">
      <c r="A409" t="inlineStr">
        <is>
          <t>lsproddiff</t>
        </is>
      </c>
      <c r="B409" t="inlineStr">
        <is>
          <t>access_water</t>
        </is>
      </c>
      <c r="C409" t="inlineStr">
        <is>
          <t>Access to water</t>
        </is>
      </c>
      <c r="D409" s="4" t="n"/>
      <c r="E409" s="4" t="n"/>
    </row>
    <row r="410">
      <c r="A410" t="inlineStr">
        <is>
          <t>lsproddiff</t>
        </is>
      </c>
      <c r="B410" t="inlineStr">
        <is>
          <t>vet_serv</t>
        </is>
      </c>
      <c r="C410" t="inlineStr">
        <is>
          <t>Access to veterinary services [vaccinations, treatments, spraying, advisory etc]</t>
        </is>
      </c>
      <c r="D410" s="4" t="n"/>
      <c r="E410" s="4" t="n"/>
    </row>
    <row r="411">
      <c r="A411" t="inlineStr">
        <is>
          <t>lsproddiff</t>
        </is>
      </c>
      <c r="B411" t="inlineStr">
        <is>
          <t>vet_input</t>
        </is>
      </c>
      <c r="C411" t="inlineStr">
        <is>
          <t>Access to veterinary inputs [medicine for animals / tools for animal health / etc]</t>
        </is>
      </c>
      <c r="D411" s="4" t="n"/>
      <c r="E411" s="4" t="n"/>
    </row>
    <row r="412">
      <c r="A412" t="inlineStr">
        <is>
          <t>lsproddiff</t>
        </is>
      </c>
      <c r="B412" t="inlineStr">
        <is>
          <t>diseases</t>
        </is>
      </c>
      <c r="C412" t="inlineStr">
        <is>
          <t>Livestock diseases or injury</t>
        </is>
      </c>
      <c r="D412" s="4" t="n"/>
      <c r="E412" s="4" t="n"/>
    </row>
    <row r="413">
      <c r="A413" t="inlineStr">
        <is>
          <t>lsproddiff</t>
        </is>
      </c>
      <c r="B413" t="inlineStr">
        <is>
          <t>theft</t>
        </is>
      </c>
      <c r="C413" t="inlineStr">
        <is>
          <t>Livestock theft</t>
        </is>
      </c>
      <c r="D413" s="4" t="n"/>
      <c r="E413" s="4" t="n"/>
    </row>
    <row r="414">
      <c r="A414" t="inlineStr">
        <is>
          <t>lsproddiff</t>
        </is>
      </c>
      <c r="B414" t="inlineStr">
        <is>
          <t>access_market</t>
        </is>
      </c>
      <c r="C414" t="inlineStr">
        <is>
          <t>Access to livestock market to buy young animals</t>
        </is>
      </c>
      <c r="D414" s="4" t="n"/>
      <c r="E414" s="4" t="n"/>
    </row>
    <row r="415">
      <c r="A415" t="inlineStr">
        <is>
          <t>lsproddiff</t>
        </is>
      </c>
      <c r="B415" t="inlineStr">
        <is>
          <t>access_credit</t>
        </is>
      </c>
      <c r="C415" t="inlineStr">
        <is>
          <t>Access to credit</t>
        </is>
      </c>
      <c r="D415" s="4" t="n"/>
      <c r="E415" s="4" t="n"/>
    </row>
    <row r="416">
      <c r="A416" t="inlineStr">
        <is>
          <t>lsproddiff</t>
        </is>
      </c>
      <c r="B416" t="inlineStr">
        <is>
          <t>access_labour</t>
        </is>
      </c>
      <c r="C416" t="inlineStr">
        <is>
          <t>Access to manpower labour</t>
        </is>
      </c>
      <c r="D416" s="4" t="n"/>
      <c r="E416" s="4" t="n"/>
    </row>
    <row r="417">
      <c r="A417" t="inlineStr">
        <is>
          <t>lsproddiff</t>
        </is>
      </c>
      <c r="B417" t="inlineStr">
        <is>
          <t>other</t>
        </is>
      </c>
      <c r="C417" t="inlineStr">
        <is>
          <t>Other</t>
        </is>
      </c>
      <c r="D417" s="4" t="n"/>
      <c r="E417" s="4" t="n"/>
    </row>
    <row r="418">
      <c r="A418" t="inlineStr">
        <is>
          <t>lsproddiff</t>
        </is>
      </c>
      <c r="B418" t="inlineStr">
        <is>
          <t>dk</t>
        </is>
      </c>
      <c r="C418" t="inlineStr">
        <is>
          <t>DON'T KNOW</t>
        </is>
      </c>
      <c r="D418" s="4" t="n"/>
      <c r="E418" s="4" t="n"/>
    </row>
    <row r="419">
      <c r="A419" t="inlineStr">
        <is>
          <t>lsproddiff</t>
        </is>
      </c>
      <c r="B419" t="inlineStr">
        <is>
          <t>ref</t>
        </is>
      </c>
      <c r="C419" t="inlineStr">
        <is>
          <t>REFUSED</t>
        </is>
      </c>
      <c r="D419" s="4" t="n"/>
      <c r="E419" s="4" t="n"/>
    </row>
    <row r="420">
      <c r="D420" s="4" t="n"/>
      <c r="E420" s="4" t="n"/>
    </row>
    <row r="421">
      <c r="A421" s="223" t="inlineStr">
        <is>
          <t>lsmain2</t>
        </is>
      </c>
      <c r="B421" s="223" t="n">
        <v>1</v>
      </c>
      <c r="C421" s="223" t="inlineStr">
        <is>
          <t>Cattle [cow / beef / veal / yak / buffalo]</t>
        </is>
      </c>
      <c r="D421" s="4" t="n"/>
      <c r="E421" s="4" t="n"/>
    </row>
    <row r="422">
      <c r="A422" s="223" t="inlineStr">
        <is>
          <t>lsmain2</t>
        </is>
      </c>
      <c r="B422" s="223" t="n">
        <v>2</v>
      </c>
      <c r="C422" s="223" t="inlineStr">
        <is>
          <t>Goat</t>
        </is>
      </c>
      <c r="D422" s="4" t="n"/>
      <c r="E422" s="4" t="n"/>
    </row>
    <row r="423">
      <c r="A423" s="223" t="inlineStr">
        <is>
          <t>lsmain2</t>
        </is>
      </c>
      <c r="B423" s="223" t="n">
        <v>3</v>
      </c>
      <c r="C423" s="223" t="inlineStr">
        <is>
          <t>Sheep</t>
        </is>
      </c>
      <c r="D423" s="4" t="n"/>
      <c r="E423" s="4" t="n"/>
    </row>
    <row r="424">
      <c r="A424" s="223" t="inlineStr">
        <is>
          <t>lsmain2</t>
        </is>
      </c>
      <c r="B424" s="223" t="n">
        <v>4</v>
      </c>
      <c r="C424" s="223" t="inlineStr">
        <is>
          <t>Swine [swine / boar / hog / etc]</t>
        </is>
      </c>
      <c r="D424" s="4" t="n"/>
      <c r="E424" s="4" t="n"/>
    </row>
    <row r="425">
      <c r="A425" s="223" t="inlineStr">
        <is>
          <t>lsmain2</t>
        </is>
      </c>
      <c r="B425" s="223" t="n">
        <v>5</v>
      </c>
      <c r="C425" s="223" t="inlineStr">
        <is>
          <t>Equine [donkey / horse / etc]</t>
        </is>
      </c>
      <c r="D425" s="4" t="n"/>
      <c r="E425" s="4" t="n"/>
    </row>
    <row r="426">
      <c r="A426" s="223" t="inlineStr">
        <is>
          <t>lsmain2</t>
        </is>
      </c>
      <c r="B426" s="223" t="n">
        <v>6</v>
      </c>
      <c r="C426" s="223" t="inlineStr">
        <is>
          <t>Small domesticated mammals [rabbits / minks / guinea pigs / etc]</t>
        </is>
      </c>
      <c r="D426" s="4" t="n"/>
      <c r="E426" s="4" t="n"/>
    </row>
    <row r="427">
      <c r="A427" s="223" t="inlineStr">
        <is>
          <t>lsmain2</t>
        </is>
      </c>
      <c r="B427" s="223" t="n">
        <v>7</v>
      </c>
      <c r="C427" s="223" t="inlineStr">
        <is>
          <t>Poultry [chicken / guineafowl / duck / quail / turkey / etc]</t>
        </is>
      </c>
      <c r="D427" s="4" t="n"/>
      <c r="E427" s="4" t="n"/>
    </row>
    <row r="428">
      <c r="A428" s="223" t="inlineStr">
        <is>
          <t>lsmain2</t>
        </is>
      </c>
      <c r="B428" s="223" t="n">
        <v>8</v>
      </c>
      <c r="C428" s="223" t="inlineStr">
        <is>
          <t>Camelids</t>
        </is>
      </c>
      <c r="D428" s="4" t="n"/>
      <c r="E428" s="4" t="n"/>
    </row>
    <row r="429">
      <c r="A429" s="223" t="inlineStr">
        <is>
          <t>lsmain2</t>
        </is>
      </c>
      <c r="B429" s="223" t="n">
        <v>9</v>
      </c>
      <c r="C429" s="223" t="inlineStr">
        <is>
          <t>Other</t>
        </is>
      </c>
      <c r="D429" s="4" t="n"/>
      <c r="E429" s="4" t="n"/>
    </row>
    <row r="430">
      <c r="A430" s="223" t="inlineStr">
        <is>
          <t>lsmain2</t>
        </is>
      </c>
      <c r="B430" s="223" t="n">
        <v>666</v>
      </c>
      <c r="C430" s="223" t="inlineStr">
        <is>
          <t>No other livestock</t>
        </is>
      </c>
      <c r="D430" s="4" t="n"/>
      <c r="E430" s="4" t="n"/>
    </row>
    <row r="431">
      <c r="A431" s="223" t="inlineStr">
        <is>
          <t>lsmain2</t>
        </is>
      </c>
      <c r="B431" s="223" t="n">
        <v>10</v>
      </c>
      <c r="C431" s="223" t="inlineStr">
        <is>
          <t>DON'T KNOW</t>
        </is>
      </c>
      <c r="D431" s="4" t="n"/>
      <c r="E431" s="4" t="n"/>
    </row>
    <row r="432">
      <c r="A432" s="223" t="inlineStr">
        <is>
          <t>lsmain2</t>
        </is>
      </c>
      <c r="B432" s="223" t="n">
        <v>11</v>
      </c>
      <c r="C432" s="223" t="inlineStr">
        <is>
          <t>REFUSED</t>
        </is>
      </c>
      <c r="D432" s="4" t="n"/>
      <c r="E432" s="4" t="n"/>
    </row>
    <row r="433">
      <c r="B433" s="10" t="n"/>
      <c r="D433" s="4" t="n"/>
      <c r="E433" s="4" t="n"/>
    </row>
    <row r="434">
      <c r="A434" s="244" t="inlineStr">
        <is>
          <t>o_pastures</t>
        </is>
      </c>
      <c r="B434" s="244" t="n">
        <v>1</v>
      </c>
      <c r="C434" s="244" t="inlineStr">
        <is>
          <t>good</t>
        </is>
      </c>
      <c r="D434" s="238" t="n"/>
      <c r="E434" s="238" t="n"/>
    </row>
    <row r="435">
      <c r="A435" s="244" t="inlineStr">
        <is>
          <t>o_pastures</t>
        </is>
      </c>
      <c r="B435" s="244" t="n">
        <v>2</v>
      </c>
      <c r="C435" s="244" t="inlineStr">
        <is>
          <t>normal</t>
        </is>
      </c>
      <c r="D435" s="238" t="n"/>
      <c r="E435" s="238" t="n"/>
    </row>
    <row r="436">
      <c r="A436" s="244" t="inlineStr">
        <is>
          <t>o_pastures</t>
        </is>
      </c>
      <c r="B436" s="244" t="n">
        <v>3</v>
      </c>
      <c r="C436" s="244" t="inlineStr">
        <is>
          <t>poor</t>
        </is>
      </c>
      <c r="D436" s="238" t="n"/>
      <c r="E436" s="238" t="n"/>
    </row>
    <row r="437">
      <c r="A437" s="244" t="inlineStr">
        <is>
          <t>o_pastures</t>
        </is>
      </c>
      <c r="B437" s="244" t="n">
        <v>4</v>
      </c>
      <c r="C437" s="244" t="inlineStr">
        <is>
          <t>so poor that I had to migrate</t>
        </is>
      </c>
      <c r="D437" s="238" t="n"/>
      <c r="E437" s="238" t="n"/>
    </row>
    <row r="438">
      <c r="B438" s="10" t="n"/>
      <c r="D438" s="4" t="n"/>
      <c r="E438" s="4" t="n"/>
    </row>
    <row r="439">
      <c r="A439" t="inlineStr">
        <is>
          <t>salesmain</t>
        </is>
      </c>
      <c r="B439" t="n">
        <v>1</v>
      </c>
      <c r="C439" t="inlineStr">
        <is>
          <t>Cattle [cow / beef / veal / yak / buffalo]</t>
        </is>
      </c>
      <c r="D439" s="4" t="n"/>
      <c r="E439" s="4" t="n"/>
    </row>
    <row r="440">
      <c r="A440" t="inlineStr">
        <is>
          <t>salesmain</t>
        </is>
      </c>
      <c r="B440" t="n">
        <v>2</v>
      </c>
      <c r="C440" t="inlineStr">
        <is>
          <t>Goat</t>
        </is>
      </c>
      <c r="D440" s="4" t="n"/>
      <c r="E440" s="4" t="n"/>
    </row>
    <row r="441">
      <c r="A441" t="inlineStr">
        <is>
          <t>salesmain</t>
        </is>
      </c>
      <c r="B441" t="n">
        <v>3</v>
      </c>
      <c r="C441" t="inlineStr">
        <is>
          <t>Sheep</t>
        </is>
      </c>
      <c r="D441" s="4" t="n"/>
      <c r="E441" s="4" t="n"/>
    </row>
    <row r="442">
      <c r="A442" t="inlineStr">
        <is>
          <t>salesmain</t>
        </is>
      </c>
      <c r="B442" t="n">
        <v>4</v>
      </c>
      <c r="C442" s="222" t="inlineStr">
        <is>
          <t>Swine [swine / boar / hog / etc]</t>
        </is>
      </c>
      <c r="D442" s="4" t="n"/>
      <c r="E442" s="4" t="n"/>
    </row>
    <row r="443">
      <c r="A443" t="inlineStr">
        <is>
          <t>salesmain</t>
        </is>
      </c>
      <c r="B443" t="n">
        <v>5</v>
      </c>
      <c r="C443" t="inlineStr">
        <is>
          <t>Equine [donkey / horse / etc.]</t>
        </is>
      </c>
      <c r="D443" s="4" t="n"/>
      <c r="E443" s="4" t="n"/>
    </row>
    <row r="444">
      <c r="A444" t="inlineStr">
        <is>
          <t>salesmain</t>
        </is>
      </c>
      <c r="B444" t="n">
        <v>6</v>
      </c>
      <c r="C444" t="inlineStr">
        <is>
          <t>Small domesticated mammals [rabbits / minks / guinea pigs / etc]</t>
        </is>
      </c>
      <c r="D444" s="4" t="n"/>
      <c r="E444" s="4" t="n"/>
    </row>
    <row r="445">
      <c r="A445" t="inlineStr">
        <is>
          <t>salesmain</t>
        </is>
      </c>
      <c r="B445" t="n">
        <v>7</v>
      </c>
      <c r="C445" t="inlineStr">
        <is>
          <t>Poultry [chicken / guineafowl / duck / quail / turkey / etc.]</t>
        </is>
      </c>
      <c r="D445" s="4" t="n"/>
      <c r="E445" s="4" t="n"/>
    </row>
    <row r="446">
      <c r="A446" t="inlineStr">
        <is>
          <t>salesmain</t>
        </is>
      </c>
      <c r="B446" t="n">
        <v>8</v>
      </c>
      <c r="C446" t="inlineStr">
        <is>
          <t>Camelids</t>
        </is>
      </c>
      <c r="D446" s="4" t="n"/>
      <c r="E446" s="4" t="n"/>
    </row>
    <row r="447">
      <c r="A447" t="inlineStr">
        <is>
          <t>salesmain</t>
        </is>
      </c>
      <c r="B447" t="n">
        <v>9</v>
      </c>
      <c r="C447" t="inlineStr">
        <is>
          <t>Eggs</t>
        </is>
      </c>
      <c r="D447" s="4" t="n"/>
      <c r="E447" s="4" t="n"/>
    </row>
    <row r="448">
      <c r="A448" t="inlineStr">
        <is>
          <t>salesmain</t>
        </is>
      </c>
      <c r="B448" t="n">
        <v>10</v>
      </c>
      <c r="C448" t="inlineStr">
        <is>
          <t>Milk or dairy products</t>
        </is>
      </c>
      <c r="D448" s="4" t="n"/>
      <c r="E448" s="4" t="n"/>
    </row>
    <row r="449">
      <c r="A449" t="inlineStr">
        <is>
          <t>salesmain</t>
        </is>
      </c>
      <c r="B449" t="n">
        <v>11</v>
      </c>
      <c r="C449" t="inlineStr">
        <is>
          <t>Skin or leather or wool</t>
        </is>
      </c>
      <c r="D449" s="4" t="n"/>
      <c r="E449" s="4" t="n"/>
    </row>
    <row r="450">
      <c r="A450" t="inlineStr">
        <is>
          <t>salesmain</t>
        </is>
      </c>
      <c r="B450" s="221" t="n">
        <v>12</v>
      </c>
      <c r="C450" t="inlineStr">
        <is>
          <t>DON'T KNOW</t>
        </is>
      </c>
      <c r="D450" s="4" t="n"/>
      <c r="E450" s="4" t="n"/>
    </row>
    <row r="451">
      <c r="A451" t="inlineStr">
        <is>
          <t>salesmain</t>
        </is>
      </c>
      <c r="B451" s="221" t="n">
        <v>13</v>
      </c>
      <c r="C451" t="inlineStr">
        <is>
          <t>REFUSED</t>
        </is>
      </c>
      <c r="D451" s="4" t="n"/>
      <c r="E451" s="4" t="n"/>
    </row>
    <row r="452">
      <c r="D452" s="4" t="n"/>
      <c r="E452" s="4" t="n"/>
    </row>
    <row r="453" ht="16.05" customHeight="1">
      <c r="A453" t="inlineStr">
        <is>
          <t>lssalesdif</t>
        </is>
      </c>
      <c r="B453" t="inlineStr">
        <is>
          <t>marketing_cost</t>
        </is>
      </c>
      <c r="C453" t="inlineStr">
        <is>
          <t>High transportation or other marketing costs</t>
        </is>
      </c>
      <c r="D453" s="4" t="n"/>
      <c r="E453" s="4" t="n"/>
    </row>
    <row r="454" ht="16.05" customHeight="1">
      <c r="A454" t="inlineStr">
        <is>
          <t>lssalesdif</t>
        </is>
      </c>
      <c r="B454" t="inlineStr">
        <is>
          <t>damage_losses</t>
        </is>
      </c>
      <c r="C454" t="inlineStr">
        <is>
          <t xml:space="preserve">Damage and losses during transportation or difficulty accessing the market </t>
        </is>
      </c>
      <c r="D454" s="4" t="n"/>
      <c r="E454" s="4" t="n"/>
    </row>
    <row r="455" ht="16.05" customHeight="1">
      <c r="A455" t="inlineStr">
        <is>
          <t>lssalesdif</t>
        </is>
      </c>
      <c r="B455" t="inlineStr">
        <is>
          <t>low_demand</t>
        </is>
      </c>
      <c r="C455" t="inlineStr">
        <is>
          <t>Lack of demand from usual traders or buyers</t>
        </is>
      </c>
      <c r="D455" s="4" t="n"/>
      <c r="E455" s="4" t="n"/>
    </row>
    <row r="456" ht="16.05" customHeight="1">
      <c r="A456" t="inlineStr">
        <is>
          <t>lssalesdif</t>
        </is>
      </c>
      <c r="B456" t="inlineStr">
        <is>
          <t>pay_delay</t>
        </is>
      </c>
      <c r="C456" t="inlineStr">
        <is>
          <t>Payment delays from traders / buyers</t>
        </is>
      </c>
      <c r="D456" s="4" t="n"/>
      <c r="E456" s="4" t="n"/>
    </row>
    <row r="457" ht="16.05" customHeight="1">
      <c r="A457" t="inlineStr">
        <is>
          <t>lssalesdif</t>
        </is>
      </c>
      <c r="B457" t="inlineStr">
        <is>
          <t>low_price</t>
        </is>
      </c>
      <c r="C457" t="inlineStr">
        <is>
          <t>Low selling prices [e.g. compared to input prices / inflation]</t>
        </is>
      </c>
      <c r="D457" s="4" t="n"/>
      <c r="E457" s="4" t="n"/>
    </row>
    <row r="458" ht="16.05" customHeight="1">
      <c r="A458" t="inlineStr">
        <is>
          <t>lssalesdif</t>
        </is>
      </c>
      <c r="B458" t="inlineStr">
        <is>
          <t>slaughterhouse</t>
        </is>
      </c>
      <c r="C458" t="inlineStr">
        <is>
          <t>Closure of slaughterhouses or difficulties accessing slaughterhouses</t>
        </is>
      </c>
      <c r="D458" s="4" t="n"/>
      <c r="E458" s="4" t="n"/>
    </row>
    <row r="459" ht="16.05" customHeight="1">
      <c r="A459" t="inlineStr">
        <is>
          <t>lssalesdif</t>
        </is>
      </c>
      <c r="B459" t="inlineStr">
        <is>
          <t>processing</t>
        </is>
      </c>
      <c r="C459" t="inlineStr">
        <is>
          <t>Difficulties processing product other than closure of slaughterhouse [lack of access to processing inputs / equipment / etc]</t>
        </is>
      </c>
      <c r="D459" s="4" t="n"/>
      <c r="E459" s="4" t="n"/>
    </row>
    <row r="460" ht="16.05" customHeight="1">
      <c r="A460" t="inlineStr">
        <is>
          <t>lssalesdif</t>
        </is>
      </c>
      <c r="B460" t="inlineStr">
        <is>
          <t>competition</t>
        </is>
      </c>
      <c r="C460" t="inlineStr">
        <is>
          <t>Market flooded with products</t>
        </is>
      </c>
      <c r="D460" s="4" t="n"/>
      <c r="E460" s="4" t="n"/>
    </row>
    <row r="461" ht="16.05" customHeight="1">
      <c r="A461" t="inlineStr">
        <is>
          <t>lssalesdif</t>
        </is>
      </c>
      <c r="B461" t="inlineStr">
        <is>
          <t>other</t>
        </is>
      </c>
      <c r="C461" t="inlineStr">
        <is>
          <t>Other</t>
        </is>
      </c>
      <c r="D461" s="4" t="n"/>
      <c r="E461" s="4" t="n"/>
    </row>
    <row r="462" ht="16.05" customHeight="1">
      <c r="A462" t="inlineStr">
        <is>
          <t>lssalesdif</t>
        </is>
      </c>
      <c r="B462" t="inlineStr">
        <is>
          <t>dk</t>
        </is>
      </c>
      <c r="C462" t="inlineStr">
        <is>
          <t>DON'T KNOW</t>
        </is>
      </c>
      <c r="D462" s="4" t="n"/>
      <c r="E462" s="4" t="n"/>
    </row>
    <row r="463" ht="16.05" customHeight="1">
      <c r="A463" t="inlineStr">
        <is>
          <t>lssalesdif</t>
        </is>
      </c>
      <c r="B463" t="inlineStr">
        <is>
          <t>ref</t>
        </is>
      </c>
      <c r="C463" t="inlineStr">
        <is>
          <t>REFUSED</t>
        </is>
      </c>
      <c r="D463" s="4" t="n"/>
      <c r="E463" s="4" t="n"/>
    </row>
    <row r="464" ht="16.05" customHeight="1">
      <c r="D464" s="4" t="n"/>
      <c r="E464" s="4" t="n"/>
    </row>
    <row r="465">
      <c r="A465" t="inlineStr">
        <is>
          <t>fishactivity</t>
        </is>
      </c>
      <c r="B465" t="inlineStr">
        <is>
          <t>coastal</t>
        </is>
      </c>
      <c r="C465" t="inlineStr">
        <is>
          <t>Near coastal, delta, lagoon fishing</t>
        </is>
      </c>
      <c r="D465" s="4" t="n"/>
      <c r="E465" s="4" t="n"/>
    </row>
    <row r="466">
      <c r="A466" t="inlineStr">
        <is>
          <t>fishactivity</t>
        </is>
      </c>
      <c r="B466" t="inlineStr">
        <is>
          <t>offshore_sea</t>
        </is>
      </c>
      <c r="C466" t="inlineStr">
        <is>
          <t>Offshore sea fishing</t>
        </is>
      </c>
      <c r="D466" s="4" t="n"/>
      <c r="E466" s="4" t="n"/>
    </row>
    <row r="467">
      <c r="A467" t="inlineStr">
        <is>
          <t>fishactivity</t>
        </is>
      </c>
      <c r="B467" t="inlineStr">
        <is>
          <t>freshwater</t>
        </is>
      </c>
      <c r="C467" t="inlineStr">
        <is>
          <t>Freshwater fishing [in lakes, reservoirs, ponds, rivers, or wetlands]</t>
        </is>
      </c>
      <c r="D467" s="4" t="n"/>
      <c r="E467" s="4" t="n"/>
    </row>
    <row r="468">
      <c r="A468" t="inlineStr">
        <is>
          <t>fishactivity</t>
        </is>
      </c>
      <c r="B468" t="inlineStr">
        <is>
          <t>aquaculture</t>
        </is>
      </c>
      <c r="C468" t="inlineStr">
        <is>
          <t>Aquaculture</t>
        </is>
      </c>
      <c r="D468" s="4" t="n"/>
      <c r="E468" s="4" t="n"/>
    </row>
    <row r="469">
      <c r="A469" t="inlineStr">
        <is>
          <t>fishactivity</t>
        </is>
      </c>
      <c r="B469" t="inlineStr">
        <is>
          <t>dk</t>
        </is>
      </c>
      <c r="C469" t="inlineStr">
        <is>
          <t>DON'T KNOW</t>
        </is>
      </c>
      <c r="D469" s="4" t="n"/>
      <c r="E469" s="4" t="n"/>
    </row>
    <row r="470">
      <c r="A470" t="inlineStr">
        <is>
          <t>fishactivity</t>
        </is>
      </c>
      <c r="B470" t="inlineStr">
        <is>
          <t>ref</t>
        </is>
      </c>
      <c r="C470" t="inlineStr">
        <is>
          <t>REFUSED</t>
        </is>
      </c>
      <c r="D470" s="4" t="n"/>
      <c r="E470" s="4" t="n"/>
    </row>
    <row r="471">
      <c r="D471" s="4" t="n"/>
      <c r="E471" s="4" t="n"/>
    </row>
    <row r="472">
      <c r="A472" t="inlineStr">
        <is>
          <t>fishproddiff</t>
        </is>
      </c>
      <c r="B472" t="inlineStr">
        <is>
          <t>find_fish</t>
        </is>
      </c>
      <c r="C472" t="inlineStr">
        <is>
          <t>Fish is more difficult to find than in previous years in the same season [fishing]</t>
        </is>
      </c>
      <c r="D472" s="4" t="n"/>
      <c r="E472" s="4" t="n"/>
    </row>
    <row r="473">
      <c r="A473" t="inlineStr">
        <is>
          <t>fishproddiff</t>
        </is>
      </c>
      <c r="B473" t="inlineStr">
        <is>
          <t>pests</t>
        </is>
      </c>
      <c r="C473" t="inlineStr">
        <is>
          <t>Fish pests and diseases [aquaculture]</t>
        </is>
      </c>
      <c r="D473" s="4" t="n"/>
      <c r="E473" s="4" t="n"/>
    </row>
    <row r="474">
      <c r="A474" t="inlineStr">
        <is>
          <t>fishproddiff</t>
        </is>
      </c>
      <c r="B474" t="inlineStr">
        <is>
          <t>access_area</t>
        </is>
      </c>
      <c r="C474" t="inlineStr">
        <is>
          <t>Access to fishing or aquaculture area [e.g. due to weather conditions]</t>
        </is>
      </c>
      <c r="D474" s="4" t="n"/>
      <c r="E474" s="4" t="n"/>
    </row>
    <row r="475">
      <c r="A475" t="inlineStr">
        <is>
          <t>fishproddiff</t>
        </is>
      </c>
      <c r="B475" t="inlineStr">
        <is>
          <t>fuel</t>
        </is>
      </c>
      <c r="C475" t="inlineStr">
        <is>
          <t>Access to fuel [prices higher or not available]</t>
        </is>
      </c>
      <c r="D475" s="4" t="n"/>
      <c r="E475" s="4" t="n"/>
    </row>
    <row r="476">
      <c r="A476" t="inlineStr">
        <is>
          <t>fishproddiff</t>
        </is>
      </c>
      <c r="B476" t="inlineStr">
        <is>
          <t>input_access</t>
        </is>
      </c>
      <c r="C476" t="inlineStr">
        <is>
          <t>Access to other fishing or culture inputs [prices higher or not available]</t>
        </is>
      </c>
      <c r="D476" s="4" t="n"/>
      <c r="E476" s="4" t="n"/>
    </row>
    <row r="477">
      <c r="A477" t="inlineStr">
        <is>
          <t>fishproddiff</t>
        </is>
      </c>
      <c r="B477" t="inlineStr">
        <is>
          <t>labour</t>
        </is>
      </c>
      <c r="C477" t="inlineStr">
        <is>
          <t>Access to labour or crew labour [prices higher or not available]</t>
        </is>
      </c>
      <c r="D477" s="4" t="n"/>
      <c r="E477" s="4" t="n"/>
    </row>
    <row r="478">
      <c r="A478" t="inlineStr">
        <is>
          <t>fishproddiff</t>
        </is>
      </c>
      <c r="B478" t="inlineStr">
        <is>
          <t>infrastructure</t>
        </is>
      </c>
      <c r="C478" t="inlineStr">
        <is>
          <t>Damage or destruction of infrastructure [ponds, cages, ports, landing sites]</t>
        </is>
      </c>
      <c r="D478" s="4" t="n"/>
      <c r="E478" s="4" t="n"/>
    </row>
    <row r="479">
      <c r="A479" t="inlineStr">
        <is>
          <t>fishproddiff</t>
        </is>
      </c>
      <c r="B479" t="inlineStr">
        <is>
          <t>damage_equip</t>
        </is>
      </c>
      <c r="C479" t="inlineStr">
        <is>
          <t>Damage or destruction of boats or gears</t>
        </is>
      </c>
      <c r="D479" s="4" t="n"/>
      <c r="E479" s="4" t="n"/>
    </row>
    <row r="480">
      <c r="A480" t="inlineStr">
        <is>
          <t>fishproddiff</t>
        </is>
      </c>
      <c r="B480" t="inlineStr">
        <is>
          <t>other</t>
        </is>
      </c>
      <c r="C480" t="inlineStr">
        <is>
          <t>Other [specify]</t>
        </is>
      </c>
      <c r="D480" s="4" t="n"/>
      <c r="E480" s="4" t="n"/>
    </row>
    <row r="481">
      <c r="A481" t="inlineStr">
        <is>
          <t>fishproddiff</t>
        </is>
      </c>
      <c r="B481" t="inlineStr">
        <is>
          <t>dk</t>
        </is>
      </c>
      <c r="C481" t="inlineStr">
        <is>
          <t>DON'T KNOW</t>
        </is>
      </c>
      <c r="D481" s="4" t="n"/>
      <c r="E481" s="4" t="n"/>
    </row>
    <row r="482">
      <c r="A482" t="inlineStr">
        <is>
          <t>fishproddiff</t>
        </is>
      </c>
      <c r="B482" t="inlineStr">
        <is>
          <t>ref</t>
        </is>
      </c>
      <c r="C482" t="inlineStr">
        <is>
          <t>REFUSED</t>
        </is>
      </c>
      <c r="D482" s="4" t="n"/>
      <c r="E482" s="4" t="n"/>
    </row>
    <row r="483">
      <c r="D483" s="4" t="n"/>
      <c r="E483" s="4" t="n"/>
    </row>
    <row r="484" customFormat="1" s="13">
      <c r="A484" s="223" t="inlineStr">
        <is>
          <t>fishinput</t>
        </is>
      </c>
      <c r="B484" s="223" t="inlineStr">
        <is>
          <t>bait_feed</t>
        </is>
      </c>
      <c r="C484" s="223" t="inlineStr">
        <is>
          <t>Feed or bait</t>
        </is>
      </c>
      <c r="D484" s="15" t="n"/>
      <c r="E484" s="15" t="n"/>
    </row>
    <row r="485" customFormat="1" s="13">
      <c r="A485" s="223" t="inlineStr">
        <is>
          <t>fishinput</t>
        </is>
      </c>
      <c r="B485" s="223" t="inlineStr">
        <is>
          <t>fingerling</t>
        </is>
      </c>
      <c r="C485" s="223" t="inlineStr">
        <is>
          <t>Fingerling</t>
        </is>
      </c>
      <c r="D485" s="15" t="n"/>
      <c r="E485" s="15" t="n"/>
    </row>
    <row r="486" customFormat="1" s="13">
      <c r="A486" s="223" t="inlineStr">
        <is>
          <t>fishinput</t>
        </is>
      </c>
      <c r="B486" s="223" t="inlineStr">
        <is>
          <t>gear</t>
        </is>
      </c>
      <c r="C486" s="223" t="inlineStr">
        <is>
          <t>Fishing gear [e.g. rods, hooks, nets]</t>
        </is>
      </c>
      <c r="D486" s="15" t="n"/>
      <c r="E486" s="15" t="n"/>
    </row>
    <row r="487" customFormat="1" s="13">
      <c r="A487" s="223" t="inlineStr">
        <is>
          <t>fishinput</t>
        </is>
      </c>
      <c r="B487" s="223" t="inlineStr">
        <is>
          <t>ice</t>
        </is>
      </c>
      <c r="C487" s="223" t="inlineStr">
        <is>
          <t>Ice</t>
        </is>
      </c>
      <c r="D487" s="15" t="n"/>
      <c r="E487" s="15" t="n"/>
    </row>
    <row r="488" customFormat="1" s="13">
      <c r="A488" s="223" t="inlineStr">
        <is>
          <t>fishinput</t>
        </is>
      </c>
      <c r="B488" s="223" t="inlineStr">
        <is>
          <t>fuel</t>
        </is>
      </c>
      <c r="C488" s="223" t="inlineStr">
        <is>
          <t>Fuel</t>
        </is>
      </c>
      <c r="D488" s="15" t="n"/>
      <c r="E488" s="15" t="n"/>
    </row>
    <row r="489" customFormat="1" s="13">
      <c r="A489" s="223" t="inlineStr">
        <is>
          <t>fishinput</t>
        </is>
      </c>
      <c r="B489" s="223" t="inlineStr">
        <is>
          <t>boatrepairs</t>
        </is>
      </c>
      <c r="C489" s="223" t="inlineStr">
        <is>
          <t>Equipment repairs [including boats] or spare parts</t>
        </is>
      </c>
      <c r="D489" s="15" t="n"/>
      <c r="E489" s="15" t="n"/>
    </row>
    <row r="490" customFormat="1" s="13">
      <c r="A490" s="223" t="inlineStr">
        <is>
          <t>fishinput</t>
        </is>
      </c>
      <c r="B490" s="223" t="inlineStr">
        <is>
          <t>labour</t>
        </is>
      </c>
      <c r="C490" s="223" t="inlineStr">
        <is>
          <t>Labour</t>
        </is>
      </c>
      <c r="D490" s="15" t="n"/>
      <c r="E490" s="15" t="n"/>
    </row>
    <row r="491" customFormat="1" s="13">
      <c r="A491" s="223" t="inlineStr">
        <is>
          <t>fishinput</t>
        </is>
      </c>
      <c r="B491" s="223" t="inlineStr">
        <is>
          <t>other</t>
        </is>
      </c>
      <c r="C491" s="223" t="inlineStr">
        <is>
          <t>Other [specify]</t>
        </is>
      </c>
      <c r="D491" s="15" t="n"/>
      <c r="E491" s="15" t="n"/>
    </row>
    <row r="492" customFormat="1" s="13">
      <c r="A492" s="223" t="inlineStr">
        <is>
          <t>fishinput</t>
        </is>
      </c>
      <c r="B492" s="223" t="inlineStr">
        <is>
          <t>dk</t>
        </is>
      </c>
      <c r="C492" s="223" t="inlineStr">
        <is>
          <t>DON'T KNOW</t>
        </is>
      </c>
      <c r="D492" s="15" t="n"/>
      <c r="E492" s="15" t="n"/>
    </row>
    <row r="493" customFormat="1" s="13">
      <c r="A493" s="223" t="inlineStr">
        <is>
          <t>fishinput</t>
        </is>
      </c>
      <c r="B493" s="223" t="inlineStr">
        <is>
          <t>ref</t>
        </is>
      </c>
      <c r="C493" s="223" t="inlineStr">
        <is>
          <t>REFUSED</t>
        </is>
      </c>
      <c r="D493" s="15" t="n"/>
      <c r="E493" s="15" t="n"/>
    </row>
    <row r="494" customFormat="1" s="13">
      <c r="D494" s="15" t="n"/>
      <c r="E494" s="15" t="n"/>
    </row>
    <row r="495">
      <c r="A495" t="inlineStr">
        <is>
          <t>fishsales</t>
        </is>
      </c>
      <c r="B495" t="n">
        <v>1</v>
      </c>
      <c r="C495" t="inlineStr">
        <is>
          <t>Fresh fish [any kind, including invertebrates]</t>
        </is>
      </c>
      <c r="D495" s="4" t="n"/>
      <c r="E495" s="4" t="n"/>
    </row>
    <row r="496">
      <c r="A496" t="inlineStr">
        <is>
          <t>fishsales</t>
        </is>
      </c>
      <c r="B496" t="n">
        <v>2</v>
      </c>
      <c r="C496" t="inlineStr">
        <is>
          <t>Preserved fish [including dry fish, smoked fish, fermented fish, salt fish]</t>
        </is>
      </c>
      <c r="D496" s="4" t="n"/>
      <c r="E496" s="4" t="n"/>
    </row>
    <row r="497">
      <c r="A497" t="inlineStr">
        <is>
          <t>fishsales</t>
        </is>
      </c>
      <c r="B497" t="n">
        <v>3</v>
      </c>
      <c r="C497" t="inlineStr">
        <is>
          <t>Frozen fish</t>
        </is>
      </c>
      <c r="D497" s="4" t="n"/>
      <c r="E497" s="4" t="n"/>
    </row>
    <row r="498">
      <c r="A498" t="inlineStr">
        <is>
          <t>fishsales</t>
        </is>
      </c>
      <c r="B498" t="n">
        <v>4</v>
      </c>
      <c r="C498" t="inlineStr">
        <is>
          <t>Canned fish</t>
        </is>
      </c>
      <c r="D498" s="4" t="n"/>
      <c r="E498" s="4" t="n"/>
    </row>
    <row r="499">
      <c r="A499" t="inlineStr">
        <is>
          <t>fishsales</t>
        </is>
      </c>
      <c r="B499" t="n">
        <v>5</v>
      </c>
      <c r="C499" t="inlineStr">
        <is>
          <t>Other [specify]</t>
        </is>
      </c>
      <c r="D499" s="4" t="n"/>
      <c r="E499" s="4" t="n"/>
    </row>
    <row r="500">
      <c r="A500" t="inlineStr">
        <is>
          <t>fishsales</t>
        </is>
      </c>
      <c r="B500" s="221" t="n">
        <v>6</v>
      </c>
      <c r="C500" t="inlineStr">
        <is>
          <t>DON'T KNOW</t>
        </is>
      </c>
      <c r="D500" s="4" t="n"/>
      <c r="E500" s="4" t="n"/>
    </row>
    <row r="501">
      <c r="A501" t="inlineStr">
        <is>
          <t>fishsales</t>
        </is>
      </c>
      <c r="B501" s="221" t="n">
        <v>7</v>
      </c>
      <c r="C501" t="inlineStr">
        <is>
          <t>7)REFUSED</t>
        </is>
      </c>
      <c r="D501" s="4" t="n"/>
      <c r="E501" s="4" t="n"/>
    </row>
    <row r="502">
      <c r="D502" s="4" t="n"/>
      <c r="E502" s="4" t="n"/>
    </row>
    <row r="503">
      <c r="A503" t="inlineStr">
        <is>
          <t>fishsalesdif</t>
        </is>
      </c>
      <c r="B503" t="inlineStr">
        <is>
          <t>marketing_cost</t>
        </is>
      </c>
      <c r="C503" t="inlineStr">
        <is>
          <t>High transportation or other marketing costs</t>
        </is>
      </c>
      <c r="D503" s="4" t="n"/>
      <c r="E503" s="4" t="n"/>
      <c r="F503" s="13" t="n"/>
    </row>
    <row r="504">
      <c r="A504" t="inlineStr">
        <is>
          <t>fishsalesdif</t>
        </is>
      </c>
      <c r="B504" t="inlineStr">
        <is>
          <t>damage_losses</t>
        </is>
      </c>
      <c r="C504" t="inlineStr">
        <is>
          <t>Deterioration and losses due to storage difficulties or delays or inability to physically access markets</t>
        </is>
      </c>
      <c r="D504" s="4" t="n"/>
      <c r="E504" s="4" t="n"/>
      <c r="F504" s="13" t="n"/>
    </row>
    <row r="505">
      <c r="A505" t="inlineStr">
        <is>
          <t>fishsalesdif</t>
        </is>
      </c>
      <c r="B505" t="inlineStr">
        <is>
          <t>low_demand</t>
        </is>
      </c>
      <c r="C505" t="inlineStr">
        <is>
          <t>Lack of demand from usual buyers/traders</t>
        </is>
      </c>
      <c r="D505" s="4" t="n"/>
      <c r="E505" s="4" t="n"/>
      <c r="F505" s="13" t="n"/>
    </row>
    <row r="506">
      <c r="A506" t="inlineStr">
        <is>
          <t>fishsalesdif</t>
        </is>
      </c>
      <c r="B506" t="inlineStr">
        <is>
          <t>pay_delay</t>
        </is>
      </c>
      <c r="C506" t="inlineStr">
        <is>
          <t xml:space="preserve">Payment delays from traders/buyers </t>
        </is>
      </c>
      <c r="D506" s="4" t="n"/>
      <c r="E506" s="4" t="n"/>
      <c r="F506" s="13" t="n"/>
    </row>
    <row r="507">
      <c r="A507" t="inlineStr">
        <is>
          <t>fishsalesdif</t>
        </is>
      </c>
      <c r="B507" t="inlineStr">
        <is>
          <t>low_prices</t>
        </is>
      </c>
      <c r="C507" t="inlineStr">
        <is>
          <t>Low selling prices [e.g. compared to input prices / inflation]</t>
        </is>
      </c>
      <c r="D507" s="4" t="n"/>
      <c r="E507" s="4" t="n"/>
      <c r="F507" s="13" t="n"/>
    </row>
    <row r="508">
      <c r="A508" t="inlineStr">
        <is>
          <t>fishsalesdif</t>
        </is>
      </c>
      <c r="B508" t="inlineStr">
        <is>
          <t>processing</t>
        </is>
      </c>
      <c r="C508" t="inlineStr">
        <is>
          <t>Difficulties processing product [lack of access to processing inputs / equipment / etc]</t>
        </is>
      </c>
      <c r="D508" s="4" t="n"/>
      <c r="E508" s="4" t="n"/>
      <c r="F508" s="13" t="n"/>
    </row>
    <row r="509">
      <c r="A509" t="inlineStr">
        <is>
          <t>fishsalesdif</t>
        </is>
      </c>
      <c r="B509" t="inlineStr">
        <is>
          <t>competition</t>
        </is>
      </c>
      <c r="C509" t="inlineStr">
        <is>
          <t>Market flooded with product</t>
        </is>
      </c>
      <c r="D509" s="4" t="n"/>
      <c r="E509" s="4" t="n"/>
      <c r="F509" s="13" t="n"/>
    </row>
    <row r="510">
      <c r="A510" t="inlineStr">
        <is>
          <t>fishsalesdif</t>
        </is>
      </c>
      <c r="B510" t="inlineStr">
        <is>
          <t>other</t>
        </is>
      </c>
      <c r="C510" t="inlineStr">
        <is>
          <t>Other</t>
        </is>
      </c>
      <c r="D510" s="4" t="n"/>
      <c r="E510" s="4" t="n"/>
    </row>
    <row r="511">
      <c r="A511" t="inlineStr">
        <is>
          <t>fishsalesdif</t>
        </is>
      </c>
      <c r="B511" t="inlineStr">
        <is>
          <t>dk</t>
        </is>
      </c>
      <c r="C511" t="inlineStr">
        <is>
          <t>DON'T KNOW</t>
        </is>
      </c>
      <c r="D511" s="4" t="n"/>
      <c r="E511" s="4" t="n"/>
    </row>
    <row r="512" ht="16.05" customHeight="1">
      <c r="A512" t="inlineStr">
        <is>
          <t>fishsalesdif</t>
        </is>
      </c>
      <c r="B512" t="inlineStr">
        <is>
          <t>ref</t>
        </is>
      </c>
      <c r="C512" t="inlineStr">
        <is>
          <t>REFUSED</t>
        </is>
      </c>
      <c r="D512" s="4" t="n"/>
      <c r="E512" s="4" t="n"/>
    </row>
    <row r="513" ht="16.05" customHeight="1">
      <c r="D513" s="4" t="n"/>
      <c r="E513" s="4" t="n"/>
    </row>
    <row r="514">
      <c r="A514" t="inlineStr">
        <is>
          <t>frequency</t>
        </is>
      </c>
      <c r="B514" t="n">
        <v>1</v>
      </c>
      <c r="C514" t="inlineStr">
        <is>
          <t>Rarely (1-2 times in the past 30 days)</t>
        </is>
      </c>
      <c r="D514" s="4" t="n"/>
      <c r="E514" s="4" t="n"/>
    </row>
    <row r="515">
      <c r="A515" t="inlineStr">
        <is>
          <t>frequency</t>
        </is>
      </c>
      <c r="B515" t="n">
        <v>2</v>
      </c>
      <c r="C515" t="inlineStr">
        <is>
          <t>Sometimes (3-10 times in the past 30 days)</t>
        </is>
      </c>
      <c r="D515" s="4" t="n"/>
      <c r="E515" s="4" t="n"/>
    </row>
    <row r="516">
      <c r="A516" t="inlineStr">
        <is>
          <t>frequency</t>
        </is>
      </c>
      <c r="B516" t="n">
        <v>3</v>
      </c>
      <c r="C516" t="inlineStr">
        <is>
          <t>Often (more than 10 times in the last 30 days)</t>
        </is>
      </c>
      <c r="D516" s="4" t="n"/>
      <c r="E516" s="4" t="n"/>
    </row>
    <row r="517">
      <c r="A517" t="inlineStr">
        <is>
          <t>frequency</t>
        </is>
      </c>
      <c r="B517" t="n">
        <v>4</v>
      </c>
      <c r="C517" t="inlineStr">
        <is>
          <t xml:space="preserve">DON'T KNOW </t>
        </is>
      </c>
      <c r="D517" s="4" t="n"/>
      <c r="E517" s="4" t="n"/>
    </row>
    <row r="518">
      <c r="A518" t="inlineStr">
        <is>
          <t>frequency</t>
        </is>
      </c>
      <c r="B518" s="221" t="n">
        <v>5</v>
      </c>
      <c r="C518" t="inlineStr">
        <is>
          <t>REFUSED</t>
        </is>
      </c>
      <c r="D518" s="4" t="n"/>
      <c r="E518" s="4" t="n"/>
    </row>
    <row r="519">
      <c r="D519" s="4" t="n"/>
      <c r="E519" s="4" t="n"/>
    </row>
    <row r="520">
      <c r="A520" t="inlineStr">
        <is>
          <t>coping</t>
        </is>
      </c>
      <c r="B520" t="n">
        <v>1</v>
      </c>
      <c r="C520" t="inlineStr">
        <is>
          <t>Yes</t>
        </is>
      </c>
      <c r="D520" s="4" t="n"/>
      <c r="E520" s="4" t="n"/>
    </row>
    <row r="521">
      <c r="A521" t="inlineStr">
        <is>
          <t>coping</t>
        </is>
      </c>
      <c r="B521" t="n">
        <v>2</v>
      </c>
      <c r="C521" t="inlineStr">
        <is>
          <t>No - because it wasn’t necessary</t>
        </is>
      </c>
      <c r="D521" s="4" t="n"/>
      <c r="E521" s="4" t="n"/>
    </row>
    <row r="522">
      <c r="A522" t="inlineStr">
        <is>
          <t>coping</t>
        </is>
      </c>
      <c r="B522" t="n">
        <v>3</v>
      </c>
      <c r="C522" t="inlineStr">
        <is>
          <t>No - because you already sold those assets or did this activity within the last 12 months and you cannot continue to do it</t>
        </is>
      </c>
      <c r="D522" s="4" t="n"/>
      <c r="E522" s="4" t="n"/>
    </row>
    <row r="523">
      <c r="A523" t="inlineStr">
        <is>
          <t>coping</t>
        </is>
      </c>
      <c r="B523" t="n">
        <v>4</v>
      </c>
      <c r="C523" t="inlineStr">
        <is>
          <t>Not applicable</t>
        </is>
      </c>
      <c r="D523" s="4" t="n"/>
      <c r="E523" s="4" t="n"/>
    </row>
    <row r="524">
      <c r="A524" t="inlineStr">
        <is>
          <t>coping</t>
        </is>
      </c>
      <c r="B524" s="221" t="n">
        <v>5</v>
      </c>
      <c r="C524" t="inlineStr">
        <is>
          <t>DON'T KNOW</t>
        </is>
      </c>
      <c r="D524" s="4" t="n"/>
      <c r="E524" s="4" t="n"/>
    </row>
    <row r="525">
      <c r="A525" t="inlineStr">
        <is>
          <t>coping</t>
        </is>
      </c>
      <c r="B525" s="221" t="n">
        <v>6</v>
      </c>
      <c r="C525" t="inlineStr">
        <is>
          <t>REFUSED</t>
        </is>
      </c>
      <c r="D525" s="4" t="n"/>
      <c r="E525" s="4" t="n"/>
    </row>
    <row r="526">
      <c r="D526" s="4" t="n"/>
      <c r="E526" s="4" t="n"/>
    </row>
    <row r="527">
      <c r="A527" t="inlineStr">
        <is>
          <t>hdds</t>
        </is>
      </c>
      <c r="B527" t="inlineStr">
        <is>
          <t>cereals</t>
        </is>
      </c>
      <c r="C527" t="inlineStr">
        <is>
          <t>Cereals [sorghum / millet / corn / wheat / rice / spaghetti / bread or insert any other locally available grain]</t>
        </is>
      </c>
      <c r="D527" s="4" t="n"/>
      <c r="E527" s="4" t="n"/>
    </row>
    <row r="528">
      <c r="A528" t="inlineStr">
        <is>
          <t>hdds</t>
        </is>
      </c>
      <c r="B528" t="inlineStr">
        <is>
          <t>rootstubers</t>
        </is>
      </c>
      <c r="C528" t="inlineStr">
        <is>
          <t>Roots and tubers [white sweet potato / potato / yam / cassava or other tubers]</t>
        </is>
      </c>
      <c r="D528" s="4" t="n"/>
      <c r="E528" s="4" t="n"/>
    </row>
    <row r="529">
      <c r="A529" t="inlineStr">
        <is>
          <t>hdds</t>
        </is>
      </c>
      <c r="B529" t="inlineStr">
        <is>
          <t>vegetables</t>
        </is>
      </c>
      <c r="C529" t="inlineStr">
        <is>
          <t>Vegetables [all]</t>
        </is>
      </c>
      <c r="D529" s="4" t="n"/>
      <c r="E529" s="4" t="n"/>
    </row>
    <row r="530">
      <c r="A530" t="inlineStr">
        <is>
          <t>hdds</t>
        </is>
      </c>
      <c r="B530" t="inlineStr">
        <is>
          <t>fruits</t>
        </is>
      </c>
      <c r="C530" t="inlineStr">
        <is>
          <t>Fruit [all]</t>
        </is>
      </c>
      <c r="D530" s="4" t="n"/>
      <c r="E530" s="4" t="n"/>
    </row>
    <row r="531">
      <c r="A531" t="inlineStr">
        <is>
          <t>hdds</t>
        </is>
      </c>
      <c r="B531" t="inlineStr">
        <is>
          <t>meat</t>
        </is>
      </c>
      <c r="C531" t="inlineStr">
        <is>
          <t>Meat, poultry and offal [beef / pork / lamb /goat / rabbit / wild game / chicken / duck or other birds / liver / kidney / heart / or other organ meats]</t>
        </is>
      </c>
      <c r="D531" s="4" t="n"/>
      <c r="E531" s="4" t="n"/>
    </row>
    <row r="532">
      <c r="A532" t="inlineStr">
        <is>
          <t>hdds</t>
        </is>
      </c>
      <c r="B532" t="inlineStr">
        <is>
          <t>eggs</t>
        </is>
      </c>
      <c r="C532" t="inlineStr">
        <is>
          <t>Eggs</t>
        </is>
      </c>
      <c r="D532" s="4" t="n"/>
      <c r="E532" s="4" t="n"/>
    </row>
    <row r="533">
      <c r="A533" t="inlineStr">
        <is>
          <t>hdds</t>
        </is>
      </c>
      <c r="B533" t="inlineStr">
        <is>
          <t>fish</t>
        </is>
      </c>
      <c r="C533" t="inlineStr">
        <is>
          <t>Fish or shellfish [fresh or dried fish / other seafood]</t>
        </is>
      </c>
      <c r="D533" s="4" t="n"/>
      <c r="E533" s="4" t="n"/>
    </row>
    <row r="534">
      <c r="A534" t="inlineStr">
        <is>
          <t>hdds</t>
        </is>
      </c>
      <c r="B534" t="inlineStr">
        <is>
          <t>legumes</t>
        </is>
      </c>
      <c r="C534" t="inlineStr">
        <is>
          <t>Legumes, nuts and seeds [beans / peas / peanut / lentils / almond / and/or other nuts]</t>
        </is>
      </c>
      <c r="D534" s="4" t="n"/>
      <c r="E534" s="4" t="n"/>
    </row>
    <row r="535">
      <c r="A535" t="inlineStr">
        <is>
          <t>hdds</t>
        </is>
      </c>
      <c r="B535" t="inlineStr">
        <is>
          <t>milkdairy</t>
        </is>
      </c>
      <c r="C535" t="inlineStr">
        <is>
          <t>Milk and other dairy products [fresh milk / sour / yogurt / cheese / other dairy products]</t>
        </is>
      </c>
      <c r="D535" s="4" t="n"/>
      <c r="E535" s="4" t="n"/>
    </row>
    <row r="536">
      <c r="A536" t="inlineStr">
        <is>
          <t>hdds</t>
        </is>
      </c>
      <c r="B536" t="inlineStr">
        <is>
          <t>oils</t>
        </is>
      </c>
      <c r="C536" t="inlineStr">
        <is>
          <t>Oil/fat / butter [cooking / butter / margarine / fat/oil / other oil]</t>
        </is>
      </c>
      <c r="D536" s="4" t="n"/>
      <c r="E536" s="4" t="n"/>
    </row>
    <row r="537">
      <c r="A537" t="inlineStr">
        <is>
          <t>hdds</t>
        </is>
      </c>
      <c r="B537" t="inlineStr">
        <is>
          <t>sugar</t>
        </is>
      </c>
      <c r="C537" t="inlineStr">
        <is>
          <t>Sugar or sugary products [honey / jam / donuts / candy / biscuits / pastries / cakes and other sweet products]</t>
        </is>
      </c>
      <c r="D537" s="4" t="n"/>
      <c r="E537" s="4" t="n"/>
    </row>
    <row r="538">
      <c r="A538" t="inlineStr">
        <is>
          <t>hdds</t>
        </is>
      </c>
      <c r="B538" t="inlineStr">
        <is>
          <t>condiments</t>
        </is>
      </c>
      <c r="C538" t="inlineStr">
        <is>
          <t>Condiments [cocoa /salt / garlic / spices / yeast or baking powder / tomato or tomato sauce / meat or fish as a condiment] / coffee / tea</t>
        </is>
      </c>
      <c r="D538" s="4" t="n"/>
      <c r="E538" s="4" t="n"/>
    </row>
    <row r="539">
      <c r="D539" s="4" t="n"/>
      <c r="E539" s="4" t="n"/>
    </row>
    <row r="540">
      <c r="A540" t="inlineStr">
        <is>
          <t>needs</t>
        </is>
      </c>
      <c r="B540" t="inlineStr">
        <is>
          <t>food</t>
        </is>
      </c>
      <c r="C540" t="inlineStr">
        <is>
          <t>Food</t>
        </is>
      </c>
      <c r="D540" s="4" t="n"/>
      <c r="E540" s="4" t="n"/>
    </row>
    <row r="541">
      <c r="A541" t="inlineStr">
        <is>
          <t>needs</t>
        </is>
      </c>
      <c r="B541" t="inlineStr">
        <is>
          <t>cash</t>
        </is>
      </c>
      <c r="C541" t="inlineStr">
        <is>
          <t>Cash</t>
        </is>
      </c>
      <c r="D541" s="4" t="n"/>
      <c r="E541" s="4" t="n"/>
    </row>
    <row r="542">
      <c r="A542" t="inlineStr">
        <is>
          <t>needs</t>
        </is>
      </c>
      <c r="B542" t="inlineStr">
        <is>
          <t>vouchers_fair</t>
        </is>
      </c>
      <c r="C542" t="inlineStr">
        <is>
          <t>Vouchers or input trade fairs</t>
        </is>
      </c>
      <c r="D542" s="4" t="n"/>
      <c r="E542" s="4" t="n"/>
    </row>
    <row r="543">
      <c r="A543" t="inlineStr">
        <is>
          <t>needs</t>
        </is>
      </c>
      <c r="B543" t="inlineStr">
        <is>
          <t>crop_inputs</t>
        </is>
      </c>
      <c r="C543" t="inlineStr">
        <is>
          <t>Inputs for crop and/or vegetable production [e.g. seeds, fertilizer, tools]</t>
        </is>
      </c>
      <c r="D543" s="4" t="n"/>
      <c r="E543" s="4" t="n"/>
    </row>
    <row r="544">
      <c r="A544" t="inlineStr">
        <is>
          <t>needs</t>
        </is>
      </c>
      <c r="B544" t="inlineStr">
        <is>
          <t>crop_infrastructure</t>
        </is>
      </c>
      <c r="C544" t="inlineStr">
        <is>
          <t>Infrastructure for crop and/or vegetable production [e.g. irrigation, canal rehabilitation, pumps]</t>
        </is>
      </c>
      <c r="D544" s="4" t="n"/>
      <c r="E544" s="4" t="n"/>
    </row>
    <row r="545">
      <c r="A545" t="inlineStr">
        <is>
          <t>needs</t>
        </is>
      </c>
      <c r="B545" t="inlineStr">
        <is>
          <t>crop_knowledge</t>
        </is>
      </c>
      <c r="C545" t="inlineStr">
        <is>
          <t>Training &amp; technical knowledge/advice for crop production</t>
        </is>
      </c>
      <c r="D545" s="4" t="n"/>
      <c r="E545" s="4" t="n"/>
    </row>
    <row r="546">
      <c r="A546" t="inlineStr">
        <is>
          <t>needs</t>
        </is>
      </c>
      <c r="B546" t="inlineStr">
        <is>
          <t>ls_feed</t>
        </is>
      </c>
      <c r="C546" t="inlineStr">
        <is>
          <t>Livestock feed [fodder or supplementary feed]</t>
        </is>
      </c>
      <c r="D546" s="4" t="n"/>
      <c r="E546" s="4" t="n"/>
    </row>
    <row r="547">
      <c r="A547" t="inlineStr">
        <is>
          <t>needs</t>
        </is>
      </c>
      <c r="B547" t="inlineStr">
        <is>
          <t>ls_vet_service</t>
        </is>
      </c>
      <c r="C547" t="inlineStr">
        <is>
          <t>Veterinary services [e.g. vaccination, dips, deworming]</t>
        </is>
      </c>
      <c r="D547" s="4" t="n"/>
      <c r="E547" s="4" t="n"/>
    </row>
    <row r="548">
      <c r="A548" t="inlineStr">
        <is>
          <t>needs</t>
        </is>
      </c>
      <c r="B548" t="inlineStr">
        <is>
          <t>ls_infrastructure</t>
        </is>
      </c>
      <c r="C548" t="inlineStr">
        <is>
          <t>Infrastructure for livestock [e.g. water points, transhumance corridors, shelter, health points]</t>
        </is>
      </c>
      <c r="D548" s="4" t="n"/>
      <c r="E548" s="4" t="n"/>
    </row>
    <row r="549">
      <c r="A549" t="inlineStr">
        <is>
          <t>needs</t>
        </is>
      </c>
      <c r="B549" t="inlineStr">
        <is>
          <t>ls_knowledge</t>
        </is>
      </c>
      <c r="C549" t="inlineStr">
        <is>
          <t>Training &amp; technical knowledge/advice for livestock production</t>
        </is>
      </c>
      <c r="D549" s="4" t="n"/>
      <c r="E549" s="4" t="n"/>
    </row>
    <row r="550">
      <c r="A550" t="inlineStr">
        <is>
          <t>needs</t>
        </is>
      </c>
      <c r="B550" t="inlineStr">
        <is>
          <t>fish_inputs</t>
        </is>
      </c>
      <c r="C550" t="inlineStr">
        <is>
          <t>Inputs for fishing or aquaculture production</t>
        </is>
      </c>
      <c r="D550" s="4" t="n"/>
      <c r="E550" s="4" t="n"/>
    </row>
    <row r="551">
      <c r="A551" t="inlineStr">
        <is>
          <t>needs</t>
        </is>
      </c>
      <c r="B551" t="inlineStr">
        <is>
          <t>fish_infrastructure</t>
        </is>
      </c>
      <c r="C551" t="inlineStr">
        <is>
          <t>Infrastructure for fisheries or aquaculture production [e.g. rehabilitation of port; repair of ponds]</t>
        </is>
      </c>
      <c r="D551" s="4" t="n"/>
      <c r="E551" s="4" t="n"/>
    </row>
    <row r="552">
      <c r="A552" t="inlineStr">
        <is>
          <t>needs</t>
        </is>
      </c>
      <c r="B552" t="inlineStr">
        <is>
          <t>fish_knowledge</t>
        </is>
      </c>
      <c r="C552" t="inlineStr">
        <is>
          <t>Training &amp; technical knowledge/advice for fisheries or aquaculture production</t>
        </is>
      </c>
      <c r="D552" s="4" t="n"/>
      <c r="E552" s="4" t="n"/>
    </row>
    <row r="553">
      <c r="A553" t="inlineStr">
        <is>
          <t>needs</t>
        </is>
      </c>
      <c r="B553" t="inlineStr">
        <is>
          <t>env_infra_rehab</t>
        </is>
      </c>
      <c r="C553" t="inlineStr">
        <is>
          <t>Environmental or infrastructure rehabilitation [community-wide]</t>
        </is>
      </c>
      <c r="D553" s="4" t="n"/>
      <c r="E553" s="4" t="n"/>
    </row>
    <row r="554">
      <c r="A554" t="inlineStr">
        <is>
          <t>needs</t>
        </is>
      </c>
      <c r="B554" t="inlineStr">
        <is>
          <t>cold_storage</t>
        </is>
      </c>
      <c r="C554" t="inlineStr">
        <is>
          <t>Cold storage</t>
        </is>
      </c>
      <c r="D554" s="4" t="n"/>
      <c r="E554" s="4" t="n"/>
    </row>
    <row r="555">
      <c r="A555" t="inlineStr">
        <is>
          <t>needs</t>
        </is>
      </c>
      <c r="B555" t="inlineStr">
        <is>
          <t>marketing_supp</t>
        </is>
      </c>
      <c r="C555" t="inlineStr">
        <is>
          <t>Marketing or sales support [e.g. public procurement]</t>
        </is>
      </c>
      <c r="D555" s="4" t="n"/>
      <c r="E555" s="4" t="n"/>
    </row>
    <row r="556">
      <c r="A556" t="inlineStr">
        <is>
          <t>needs</t>
        </is>
      </c>
      <c r="B556" t="inlineStr">
        <is>
          <t>other</t>
        </is>
      </c>
      <c r="C556" t="inlineStr">
        <is>
          <t>Other [specify]</t>
        </is>
      </c>
      <c r="D556" s="4" t="n"/>
      <c r="E556" s="4" t="n"/>
    </row>
    <row r="557">
      <c r="A557" t="inlineStr">
        <is>
          <t>needs</t>
        </is>
      </c>
      <c r="B557" t="inlineStr">
        <is>
          <t>dk</t>
        </is>
      </c>
      <c r="C557" t="inlineStr">
        <is>
          <t>DON'T KNOW</t>
        </is>
      </c>
      <c r="D557" s="4" t="n"/>
      <c r="E557" s="4" t="n"/>
    </row>
    <row r="558">
      <c r="A558" t="inlineStr">
        <is>
          <t>needs</t>
        </is>
      </c>
      <c r="B558" t="inlineStr">
        <is>
          <t>ref</t>
        </is>
      </c>
      <c r="C558" t="inlineStr">
        <is>
          <t>REFUSED</t>
        </is>
      </c>
      <c r="D558" s="4" t="n"/>
      <c r="E558" s="4" t="n"/>
    </row>
    <row r="559">
      <c r="D559" s="4" t="n"/>
      <c r="E559" s="4" t="n"/>
    </row>
    <row r="560">
      <c r="A560" t="inlineStr">
        <is>
          <t>needreceived</t>
        </is>
      </c>
      <c r="B560" t="inlineStr">
        <is>
          <t>food</t>
        </is>
      </c>
      <c r="C560" t="inlineStr">
        <is>
          <t>Food</t>
        </is>
      </c>
      <c r="D560" s="4" t="n"/>
      <c r="E560" s="4" t="n"/>
    </row>
    <row r="561">
      <c r="A561" t="inlineStr">
        <is>
          <t>needreceived</t>
        </is>
      </c>
      <c r="B561" t="inlineStr">
        <is>
          <t>cash</t>
        </is>
      </c>
      <c r="C561" t="inlineStr">
        <is>
          <t xml:space="preserve">Cash </t>
        </is>
      </c>
      <c r="D561" s="4" t="n"/>
      <c r="E561" s="4" t="n"/>
    </row>
    <row r="562">
      <c r="A562" t="inlineStr">
        <is>
          <t>needreceived</t>
        </is>
      </c>
      <c r="B562" t="inlineStr">
        <is>
          <t>vouchers_fair</t>
        </is>
      </c>
      <c r="C562" t="inlineStr">
        <is>
          <t>Vouchers/input trade fairs</t>
        </is>
      </c>
      <c r="D562" s="4" t="n"/>
      <c r="E562" s="4" t="n"/>
    </row>
    <row r="563">
      <c r="A563" t="inlineStr">
        <is>
          <t>needreceived</t>
        </is>
      </c>
      <c r="B563" t="inlineStr">
        <is>
          <t>crop_assist</t>
        </is>
      </c>
      <c r="C563" t="inlineStr">
        <is>
          <t>Crop and/or vegetable production assistance</t>
        </is>
      </c>
      <c r="D563" s="4" t="n"/>
      <c r="E563" s="4" t="n"/>
    </row>
    <row r="564">
      <c r="A564" t="inlineStr">
        <is>
          <t>needreceived</t>
        </is>
      </c>
      <c r="B564" t="inlineStr">
        <is>
          <t>ls_assist</t>
        </is>
      </c>
      <c r="C564" t="inlineStr">
        <is>
          <t>Livestock assistance</t>
        </is>
      </c>
      <c r="D564" s="4" t="n"/>
      <c r="E564" s="4" t="n"/>
    </row>
    <row r="565">
      <c r="A565" t="inlineStr">
        <is>
          <t>needreceived</t>
        </is>
      </c>
      <c r="B565" t="inlineStr">
        <is>
          <t>fish_assist</t>
        </is>
      </c>
      <c r="C565" t="inlineStr">
        <is>
          <t>Fisheries and/or aquaculture assistance</t>
        </is>
      </c>
      <c r="D565" s="4" t="n"/>
      <c r="E565" s="4" t="n"/>
    </row>
    <row r="566">
      <c r="A566" t="inlineStr">
        <is>
          <t>needreceived</t>
        </is>
      </c>
      <c r="B566" t="inlineStr">
        <is>
          <t>rehabilitation</t>
        </is>
      </c>
      <c r="C566" t="inlineStr">
        <is>
          <t>Environmental or infrastructure rehabilitation [community-wide]</t>
        </is>
      </c>
      <c r="D566" s="4" t="n"/>
      <c r="E566" s="4" t="n"/>
    </row>
    <row r="567">
      <c r="A567" t="inlineStr">
        <is>
          <t>needreceived</t>
        </is>
      </c>
      <c r="B567" t="inlineStr">
        <is>
          <t>sales_support</t>
        </is>
      </c>
      <c r="C567" t="inlineStr">
        <is>
          <t>Marketing or sales support [e.g. public procurement]</t>
        </is>
      </c>
      <c r="D567" s="4" t="n"/>
      <c r="E567" s="4" t="n"/>
    </row>
    <row r="568">
      <c r="A568" t="inlineStr">
        <is>
          <t>needreceived</t>
        </is>
      </c>
      <c r="B568" t="inlineStr">
        <is>
          <t>other</t>
        </is>
      </c>
      <c r="C568" t="inlineStr">
        <is>
          <t>Other [specify]</t>
        </is>
      </c>
      <c r="D568" s="4" t="n"/>
      <c r="E568" s="4" t="n"/>
    </row>
    <row r="569">
      <c r="A569" t="inlineStr">
        <is>
          <t>needreceived</t>
        </is>
      </c>
      <c r="B569" t="inlineStr">
        <is>
          <t>none</t>
        </is>
      </c>
      <c r="C569" t="inlineStr">
        <is>
          <t>No assistance received</t>
        </is>
      </c>
      <c r="D569" s="4" t="n"/>
      <c r="E569" s="4" t="n"/>
    </row>
    <row r="570">
      <c r="A570" t="inlineStr">
        <is>
          <t>needreceived</t>
        </is>
      </c>
      <c r="B570" t="inlineStr">
        <is>
          <t>dk</t>
        </is>
      </c>
      <c r="C570" t="inlineStr">
        <is>
          <t xml:space="preserve">DON'T KNOW </t>
        </is>
      </c>
      <c r="D570" s="4" t="n"/>
      <c r="E570" s="4" t="n"/>
    </row>
    <row r="571">
      <c r="A571" t="inlineStr">
        <is>
          <t>needreceived</t>
        </is>
      </c>
      <c r="B571" t="inlineStr">
        <is>
          <t>ref</t>
        </is>
      </c>
      <c r="C571" t="inlineStr">
        <is>
          <t>REFUSED</t>
        </is>
      </c>
      <c r="D571" s="4" t="n"/>
      <c r="E571" s="4" t="n"/>
    </row>
    <row r="572">
      <c r="D572" s="4" t="n"/>
      <c r="E572" s="4" t="n"/>
    </row>
    <row r="573">
      <c r="A573" t="inlineStr">
        <is>
          <t>assist_quality</t>
        </is>
      </c>
      <c r="B573" t="n">
        <v>1</v>
      </c>
      <c r="C573" t="inlineStr">
        <is>
          <t>Yes</t>
        </is>
      </c>
      <c r="D573" s="4" t="n"/>
      <c r="E573" s="4" t="n"/>
    </row>
    <row r="574">
      <c r="A574" t="inlineStr">
        <is>
          <t>assist_quality</t>
        </is>
      </c>
      <c r="B574" t="n">
        <v>2</v>
      </c>
      <c r="C574" t="inlineStr">
        <is>
          <t>No - not received on time</t>
        </is>
      </c>
      <c r="D574" s="4" t="n"/>
      <c r="E574" s="4" t="n"/>
    </row>
    <row r="575">
      <c r="A575" t="inlineStr">
        <is>
          <t>assist_quality</t>
        </is>
      </c>
      <c r="B575" t="n">
        <v>3</v>
      </c>
      <c r="C575" t="inlineStr">
        <is>
          <t>No - did not meet my needs</t>
        </is>
      </c>
      <c r="D575" s="4" t="n"/>
      <c r="E575" s="4" t="n"/>
    </row>
    <row r="576">
      <c r="A576" t="inlineStr">
        <is>
          <t>assist_quality</t>
        </is>
      </c>
      <c r="B576" t="n">
        <v>4</v>
      </c>
      <c r="C576" t="inlineStr">
        <is>
          <t>No - quantity was not sufficient</t>
        </is>
      </c>
      <c r="D576" s="4" t="n"/>
      <c r="E576" s="4" t="n"/>
    </row>
    <row r="577">
      <c r="A577" t="inlineStr">
        <is>
          <t>assist_quality</t>
        </is>
      </c>
      <c r="B577" t="n">
        <v>5</v>
      </c>
      <c r="C577" t="inlineStr">
        <is>
          <t>No - there was a problem with the provider</t>
        </is>
      </c>
      <c r="D577" s="4" t="n"/>
      <c r="E577" s="4" t="n"/>
    </row>
    <row r="578">
      <c r="A578" t="inlineStr">
        <is>
          <t>assist_quality</t>
        </is>
      </c>
      <c r="B578" t="n">
        <v>6</v>
      </c>
      <c r="C578" t="inlineStr">
        <is>
          <t>No - there was a malfunction of the in-kind assistance provided [e.g. poor quality tools]</t>
        </is>
      </c>
      <c r="D578" s="4" t="n"/>
      <c r="E578" s="4" t="n"/>
    </row>
    <row r="579">
      <c r="A579" t="inlineStr">
        <is>
          <t>assist_quality</t>
        </is>
      </c>
      <c r="B579" t="n">
        <v>7</v>
      </c>
      <c r="C579" t="inlineStr">
        <is>
          <t>DON'T KNOW</t>
        </is>
      </c>
      <c r="D579" s="4" t="n"/>
      <c r="E579" s="4" t="n"/>
    </row>
    <row r="580">
      <c r="A580" t="inlineStr">
        <is>
          <t>assist_quality</t>
        </is>
      </c>
      <c r="B580" t="n">
        <v>8</v>
      </c>
      <c r="C580" t="inlineStr">
        <is>
          <t>REFUSED</t>
        </is>
      </c>
      <c r="D580" s="4" t="n"/>
      <c r="E580" s="4" t="n"/>
    </row>
    <row r="581">
      <c r="D581" s="4" t="n"/>
      <c r="E581" s="4" t="n"/>
    </row>
    <row r="582">
      <c r="A582" t="inlineStr">
        <is>
          <t>provider</t>
        </is>
      </c>
      <c r="B582" t="inlineStr">
        <is>
          <t>fao</t>
        </is>
      </c>
      <c r="C582" t="inlineStr">
        <is>
          <t>FAO</t>
        </is>
      </c>
      <c r="D582" s="4" t="n"/>
      <c r="E582" s="4" t="n"/>
    </row>
    <row r="583">
      <c r="A583" t="inlineStr">
        <is>
          <t>provider</t>
        </is>
      </c>
      <c r="B583" t="inlineStr">
        <is>
          <t>wfp</t>
        </is>
      </c>
      <c r="C583" t="inlineStr">
        <is>
          <t>WFP</t>
        </is>
      </c>
      <c r="D583" s="4" t="n"/>
      <c r="E583" s="4" t="n"/>
    </row>
    <row r="584">
      <c r="A584" t="inlineStr">
        <is>
          <t>provider</t>
        </is>
      </c>
      <c r="B584" t="inlineStr">
        <is>
          <t>otherun</t>
        </is>
      </c>
      <c r="C584" t="inlineStr">
        <is>
          <t>Other UN agencies</t>
        </is>
      </c>
      <c r="D584" s="4" t="n"/>
      <c r="E584" s="4" t="n"/>
    </row>
    <row r="585">
      <c r="A585" t="inlineStr">
        <is>
          <t>provider</t>
        </is>
      </c>
      <c r="B585" t="inlineStr">
        <is>
          <t>gov</t>
        </is>
      </c>
      <c r="C585" t="inlineStr">
        <is>
          <t>Government</t>
        </is>
      </c>
      <c r="D585" s="4" t="n"/>
      <c r="E585" s="4" t="n"/>
    </row>
    <row r="586">
      <c r="A586" t="inlineStr">
        <is>
          <t>provider</t>
        </is>
      </c>
      <c r="B586" t="inlineStr">
        <is>
          <t>ngo</t>
        </is>
      </c>
      <c r="C586" t="inlineStr">
        <is>
          <t>Non-governmental/local organization</t>
        </is>
      </c>
      <c r="D586" s="4" t="n"/>
      <c r="E586" s="4" t="n"/>
    </row>
    <row r="587">
      <c r="A587" t="inlineStr">
        <is>
          <t>provider</t>
        </is>
      </c>
      <c r="B587" t="inlineStr">
        <is>
          <t>dk</t>
        </is>
      </c>
      <c r="C587" t="inlineStr">
        <is>
          <t>DON'T KNOW</t>
        </is>
      </c>
      <c r="D587" s="4" t="n"/>
      <c r="E587" s="4" t="n"/>
    </row>
    <row r="588">
      <c r="A588" t="inlineStr">
        <is>
          <t>provider</t>
        </is>
      </c>
      <c r="B588" t="inlineStr">
        <is>
          <t>ref</t>
        </is>
      </c>
      <c r="C588" t="inlineStr">
        <is>
          <t>REFUSED</t>
        </is>
      </c>
      <c r="D588" s="4" t="n"/>
      <c r="E588" s="4" t="n"/>
    </row>
    <row r="589">
      <c r="D589" s="4" t="n"/>
      <c r="E589" s="4" t="n"/>
    </row>
    <row r="590">
      <c r="A590" t="inlineStr">
        <is>
          <t>leader</t>
        </is>
      </c>
      <c r="B590" t="n">
        <v>1</v>
      </c>
      <c r="C590" t="inlineStr">
        <is>
          <t>Village / town administrator</t>
        </is>
      </c>
      <c r="D590" s="4" t="n"/>
      <c r="E590" s="4" t="n"/>
    </row>
    <row r="591">
      <c r="A591" t="inlineStr">
        <is>
          <t>leader</t>
        </is>
      </c>
      <c r="B591" t="n">
        <v>2</v>
      </c>
      <c r="C591" t="inlineStr">
        <is>
          <t>Agricultural extension officer</t>
        </is>
      </c>
      <c r="D591" s="4" t="n"/>
      <c r="E591" s="4" t="n"/>
    </row>
    <row r="592">
      <c r="A592" t="inlineStr">
        <is>
          <t>leader</t>
        </is>
      </c>
      <c r="B592" t="n">
        <v>3</v>
      </c>
      <c r="C592" t="inlineStr">
        <is>
          <t>Health extension officer</t>
        </is>
      </c>
      <c r="D592" s="4" t="n"/>
      <c r="E592" s="4" t="n"/>
    </row>
    <row r="593">
      <c r="A593" t="inlineStr">
        <is>
          <t>leader</t>
        </is>
      </c>
      <c r="B593" t="n">
        <v>4</v>
      </c>
      <c r="C593" t="inlineStr">
        <is>
          <t>Teacher</t>
        </is>
      </c>
      <c r="D593" s="4" t="n"/>
      <c r="E593" s="4" t="n"/>
    </row>
    <row r="594">
      <c r="A594" t="inlineStr">
        <is>
          <t>leader</t>
        </is>
      </c>
      <c r="B594" t="n">
        <v>5</v>
      </c>
      <c r="C594" t="inlineStr">
        <is>
          <t>Other (specify)</t>
        </is>
      </c>
      <c r="D594" s="4" t="n"/>
      <c r="E594" s="4" t="n"/>
    </row>
    <row r="595">
      <c r="A595" t="inlineStr">
        <is>
          <t>leader</t>
        </is>
      </c>
      <c r="B595" t="n">
        <v>6</v>
      </c>
      <c r="C595" t="inlineStr">
        <is>
          <t>DON'T KNOW</t>
        </is>
      </c>
      <c r="D595" s="4" t="n"/>
      <c r="E595" s="4" t="n"/>
    </row>
    <row r="596">
      <c r="A596" t="inlineStr">
        <is>
          <t>leader</t>
        </is>
      </c>
      <c r="B596" t="n">
        <v>7</v>
      </c>
      <c r="C596" t="inlineStr">
        <is>
          <t>REFUSED</t>
        </is>
      </c>
      <c r="D596" s="4" t="n"/>
      <c r="E596" s="4" t="n"/>
    </row>
    <row r="597">
      <c r="D597" s="4" t="n"/>
      <c r="E597" s="4" t="n"/>
    </row>
    <row r="598">
      <c r="A598" t="inlineStr">
        <is>
          <t>week</t>
        </is>
      </c>
      <c r="B598" t="inlineStr">
        <is>
          <t>mon</t>
        </is>
      </c>
      <c r="C598" t="inlineStr">
        <is>
          <t>Monday</t>
        </is>
      </c>
      <c r="D598" s="4" t="n"/>
      <c r="E598" s="4" t="n"/>
    </row>
    <row r="599">
      <c r="A599" t="inlineStr">
        <is>
          <t>week</t>
        </is>
      </c>
      <c r="B599" t="inlineStr">
        <is>
          <t>tues</t>
        </is>
      </c>
      <c r="C599" t="inlineStr">
        <is>
          <t>Tuesday</t>
        </is>
      </c>
      <c r="D599" s="4" t="n"/>
      <c r="E599" s="4" t="n"/>
    </row>
    <row r="600">
      <c r="A600" t="inlineStr">
        <is>
          <t>week</t>
        </is>
      </c>
      <c r="B600" t="inlineStr">
        <is>
          <t>wed</t>
        </is>
      </c>
      <c r="C600" t="inlineStr">
        <is>
          <t>Wednesday</t>
        </is>
      </c>
      <c r="D600" s="4" t="n"/>
      <c r="E600" s="4" t="n"/>
    </row>
    <row r="601">
      <c r="A601" t="inlineStr">
        <is>
          <t>week</t>
        </is>
      </c>
      <c r="B601" t="inlineStr">
        <is>
          <t>thurs</t>
        </is>
      </c>
      <c r="C601" t="inlineStr">
        <is>
          <t>Thursday</t>
        </is>
      </c>
      <c r="D601" s="4" t="n"/>
      <c r="E601" s="4" t="n"/>
    </row>
    <row r="602">
      <c r="A602" t="inlineStr">
        <is>
          <t>week</t>
        </is>
      </c>
      <c r="B602" t="inlineStr">
        <is>
          <t>fri</t>
        </is>
      </c>
      <c r="C602" t="inlineStr">
        <is>
          <t>Friday</t>
        </is>
      </c>
      <c r="D602" s="4" t="n"/>
      <c r="E602" s="4" t="n"/>
    </row>
    <row r="603">
      <c r="A603" t="inlineStr">
        <is>
          <t>week</t>
        </is>
      </c>
      <c r="B603" t="inlineStr">
        <is>
          <t>sat</t>
        </is>
      </c>
      <c r="C603" t="inlineStr">
        <is>
          <t>Saturday</t>
        </is>
      </c>
      <c r="D603" s="4" t="n"/>
      <c r="E603" s="4" t="n"/>
    </row>
    <row r="604">
      <c r="A604" t="inlineStr">
        <is>
          <t>week</t>
        </is>
      </c>
      <c r="B604" t="inlineStr">
        <is>
          <t>sun</t>
        </is>
      </c>
      <c r="C604" t="inlineStr">
        <is>
          <t>Sunday</t>
        </is>
      </c>
      <c r="D604" s="4" t="n"/>
      <c r="E604" s="4" t="n"/>
    </row>
    <row r="605">
      <c r="D605" s="4" t="n"/>
      <c r="E605" s="4" t="n"/>
    </row>
    <row r="606">
      <c r="A606" t="inlineStr">
        <is>
          <t>time</t>
        </is>
      </c>
      <c r="B606" t="inlineStr">
        <is>
          <t>morn</t>
        </is>
      </c>
      <c r="C606" t="inlineStr">
        <is>
          <t>Mornings</t>
        </is>
      </c>
      <c r="D606" s="4" t="n"/>
      <c r="E606" s="4" t="n"/>
    </row>
    <row r="607">
      <c r="A607" t="inlineStr">
        <is>
          <t>time</t>
        </is>
      </c>
      <c r="B607" t="inlineStr">
        <is>
          <t>aft</t>
        </is>
      </c>
      <c r="C607" t="inlineStr">
        <is>
          <t>Afternoons</t>
        </is>
      </c>
      <c r="D607" s="4" t="n"/>
      <c r="E607" s="4" t="n"/>
    </row>
    <row r="608">
      <c r="A608" t="inlineStr">
        <is>
          <t>time</t>
        </is>
      </c>
      <c r="B608" t="inlineStr">
        <is>
          <t>eve</t>
        </is>
      </c>
      <c r="C608" t="inlineStr">
        <is>
          <t>Evenings</t>
        </is>
      </c>
      <c r="D608" s="4" t="n"/>
      <c r="E608" s="4" t="n"/>
    </row>
    <row r="609">
      <c r="D609" s="4" t="n"/>
      <c r="E609" s="4" t="n"/>
    </row>
    <row r="610"/>
    <row r="611">
      <c r="A611" s="11" t="n"/>
      <c r="B611" s="11" t="n"/>
      <c r="C611" s="11" t="n"/>
      <c r="D611" s="7" t="n"/>
      <c r="E611" s="7" t="n"/>
      <c r="F611" s="11" t="n"/>
    </row>
    <row r="612"/>
    <row r="613">
      <c r="A613" t="inlineStr">
        <is>
          <t>crop</t>
        </is>
      </c>
      <c r="B613" t="inlineStr">
        <is>
          <t>1.1</t>
        </is>
      </c>
      <c r="C613" t="inlineStr">
        <is>
          <t>Rice</t>
        </is>
      </c>
    </row>
    <row r="614">
      <c r="A614" t="inlineStr">
        <is>
          <t>crop</t>
        </is>
      </c>
      <c r="B614" t="inlineStr">
        <is>
          <t>1.2</t>
        </is>
      </c>
      <c r="C614" t="inlineStr">
        <is>
          <t>Wheat</t>
        </is>
      </c>
    </row>
    <row r="615">
      <c r="A615" t="inlineStr">
        <is>
          <t>crop</t>
        </is>
      </c>
      <c r="B615" t="inlineStr">
        <is>
          <t>1.5</t>
        </is>
      </c>
      <c r="C615" t="inlineStr">
        <is>
          <t>Maize</t>
        </is>
      </c>
    </row>
    <row r="616">
      <c r="A616" t="inlineStr">
        <is>
          <t>crop</t>
        </is>
      </c>
      <c r="B616" t="inlineStr">
        <is>
          <t>1.6</t>
        </is>
      </c>
      <c r="C616" t="inlineStr">
        <is>
          <t>Barley</t>
        </is>
      </c>
    </row>
    <row r="617">
      <c r="A617" t="inlineStr">
        <is>
          <t>crop</t>
        </is>
      </c>
      <c r="B617" t="inlineStr">
        <is>
          <t>2.2</t>
        </is>
      </c>
      <c r="C617" t="inlineStr">
        <is>
          <t>Potatoe</t>
        </is>
      </c>
    </row>
    <row r="618">
      <c r="A618" t="inlineStr">
        <is>
          <t>crop</t>
        </is>
      </c>
      <c r="B618" t="inlineStr">
        <is>
          <t>3.1</t>
        </is>
      </c>
      <c r="C618" t="inlineStr">
        <is>
          <t>Beans</t>
        </is>
      </c>
    </row>
    <row r="619">
      <c r="A619" t="inlineStr">
        <is>
          <t>crop</t>
        </is>
      </c>
      <c r="B619" t="inlineStr">
        <is>
          <t>5.1</t>
        </is>
      </c>
      <c r="C619" t="inlineStr">
        <is>
          <t>Tomatoes</t>
        </is>
      </c>
    </row>
    <row r="620">
      <c r="A620" t="inlineStr">
        <is>
          <t>crop</t>
        </is>
      </c>
      <c r="B620" t="inlineStr">
        <is>
          <t>7.18</t>
        </is>
      </c>
      <c r="C620" t="inlineStr">
        <is>
          <t>Melon (Cantaloupe)</t>
        </is>
      </c>
    </row>
    <row r="621">
      <c r="A621" t="inlineStr">
        <is>
          <t>crop</t>
        </is>
      </c>
      <c r="B621" t="inlineStr">
        <is>
          <t>7.8</t>
        </is>
      </c>
      <c r="C621" t="inlineStr">
        <is>
          <t>Water Melon</t>
        </is>
      </c>
    </row>
    <row r="622">
      <c r="A622" t="inlineStr">
        <is>
          <t>crop</t>
        </is>
      </c>
      <c r="B622" t="inlineStr">
        <is>
          <t>9.4</t>
        </is>
      </c>
      <c r="C622" t="inlineStr">
        <is>
          <t>Sugarcane</t>
        </is>
      </c>
    </row>
    <row r="623">
      <c r="A623" t="inlineStr">
        <is>
          <t>crop</t>
        </is>
      </c>
      <c r="B623" t="inlineStr">
        <is>
          <t>1.3</t>
        </is>
      </c>
      <c r="C623" t="inlineStr">
        <is>
          <t>Millet</t>
        </is>
      </c>
    </row>
    <row r="624">
      <c r="A624" t="inlineStr">
        <is>
          <t>crop</t>
        </is>
      </c>
      <c r="B624" t="inlineStr">
        <is>
          <t>1.4</t>
        </is>
      </c>
      <c r="C624" t="inlineStr">
        <is>
          <t>Sorghum</t>
        </is>
      </c>
    </row>
    <row r="625">
      <c r="A625" t="inlineStr">
        <is>
          <t>crop</t>
        </is>
      </c>
      <c r="B625" t="inlineStr">
        <is>
          <t>1.99</t>
        </is>
      </c>
      <c r="C625" t="inlineStr">
        <is>
          <t>Other Cereal</t>
        </is>
      </c>
    </row>
    <row r="626">
      <c r="A626" t="inlineStr">
        <is>
          <t>crop</t>
        </is>
      </c>
      <c r="B626" t="inlineStr">
        <is>
          <t>2.1</t>
        </is>
      </c>
      <c r="C626" t="inlineStr">
        <is>
          <t>Cassava</t>
        </is>
      </c>
    </row>
    <row r="627">
      <c r="A627" t="inlineStr">
        <is>
          <t>crop</t>
        </is>
      </c>
      <c r="B627" t="inlineStr">
        <is>
          <t>2.3</t>
        </is>
      </c>
      <c r="C627" t="inlineStr">
        <is>
          <t>Sweet Potatoes</t>
        </is>
      </c>
    </row>
    <row r="628">
      <c r="A628" t="inlineStr">
        <is>
          <t>crop</t>
        </is>
      </c>
      <c r="B628" t="inlineStr">
        <is>
          <t>2.4</t>
        </is>
      </c>
      <c r="C628" t="inlineStr">
        <is>
          <t>Yams</t>
        </is>
      </c>
    </row>
    <row r="629">
      <c r="A629" t="inlineStr">
        <is>
          <t>crop</t>
        </is>
      </c>
      <c r="B629" t="inlineStr">
        <is>
          <t>2.5</t>
        </is>
      </c>
      <c r="C629" t="inlineStr">
        <is>
          <t>Carrots</t>
        </is>
      </c>
    </row>
    <row r="630">
      <c r="A630" t="inlineStr">
        <is>
          <t>crop</t>
        </is>
      </c>
      <c r="B630" t="inlineStr">
        <is>
          <t>2.6</t>
        </is>
      </c>
      <c r="C630" t="inlineStr">
        <is>
          <t>Cocoyam</t>
        </is>
      </c>
    </row>
    <row r="631">
      <c r="A631" t="inlineStr">
        <is>
          <t>crop</t>
        </is>
      </c>
      <c r="B631" t="inlineStr">
        <is>
          <t>2.99</t>
        </is>
      </c>
      <c r="C631" t="inlineStr">
        <is>
          <t>Other tubers</t>
        </is>
      </c>
    </row>
    <row r="632">
      <c r="A632" t="inlineStr">
        <is>
          <t>crop</t>
        </is>
      </c>
      <c r="B632" t="inlineStr">
        <is>
          <t>3.2</t>
        </is>
      </c>
      <c r="C632" t="inlineStr">
        <is>
          <t>Lentils</t>
        </is>
      </c>
    </row>
    <row r="633">
      <c r="A633" t="inlineStr">
        <is>
          <t>crop</t>
        </is>
      </c>
      <c r="B633" t="inlineStr">
        <is>
          <t>3.3</t>
        </is>
      </c>
      <c r="C633" t="inlineStr">
        <is>
          <t>Peas</t>
        </is>
      </c>
    </row>
    <row r="634">
      <c r="A634" t="inlineStr">
        <is>
          <t>crop</t>
        </is>
      </c>
      <c r="B634" t="inlineStr">
        <is>
          <t>3.4</t>
        </is>
      </c>
      <c r="C634" t="inlineStr">
        <is>
          <t>Soybeans</t>
        </is>
      </c>
    </row>
    <row r="635">
      <c r="A635" t="inlineStr">
        <is>
          <t>crop</t>
        </is>
      </c>
      <c r="B635" t="inlineStr">
        <is>
          <t>3.5</t>
        </is>
      </c>
      <c r="C635" t="inlineStr">
        <is>
          <t>Chickpeas</t>
        </is>
      </c>
    </row>
    <row r="636">
      <c r="A636" t="inlineStr">
        <is>
          <t>crop</t>
        </is>
      </c>
      <c r="B636" t="inlineStr">
        <is>
          <t>3.6</t>
        </is>
      </c>
      <c r="C636" t="inlineStr">
        <is>
          <t>Fava beans</t>
        </is>
      </c>
    </row>
    <row r="637">
      <c r="A637" t="inlineStr">
        <is>
          <t>crop</t>
        </is>
      </c>
      <c r="B637" t="inlineStr">
        <is>
          <t>3.7</t>
        </is>
      </c>
      <c r="C637" t="inlineStr">
        <is>
          <t>Broad beans</t>
        </is>
      </c>
    </row>
    <row r="638">
      <c r="A638" t="inlineStr">
        <is>
          <t>crop</t>
        </is>
      </c>
      <c r="B638" t="inlineStr">
        <is>
          <t>3.99</t>
        </is>
      </c>
      <c r="C638" t="inlineStr">
        <is>
          <t>Other pulses</t>
        </is>
      </c>
    </row>
    <row r="639">
      <c r="A639" t="inlineStr">
        <is>
          <t>crop</t>
        </is>
      </c>
      <c r="B639" t="inlineStr">
        <is>
          <t>4.1</t>
        </is>
      </c>
      <c r="C639" t="inlineStr">
        <is>
          <t>Cabbage</t>
        </is>
      </c>
    </row>
    <row r="640">
      <c r="A640" t="inlineStr">
        <is>
          <t>crop</t>
        </is>
      </c>
      <c r="B640" t="inlineStr">
        <is>
          <t>4.101</t>
        </is>
      </c>
      <c r="C640" t="inlineStr">
        <is>
          <t>Cauliflower</t>
        </is>
      </c>
    </row>
    <row r="641">
      <c r="A641" t="inlineStr">
        <is>
          <t>crop</t>
        </is>
      </c>
      <c r="B641" t="inlineStr">
        <is>
          <t>4.2</t>
        </is>
      </c>
      <c r="C641" t="inlineStr">
        <is>
          <t>Lettuce</t>
        </is>
      </c>
    </row>
    <row r="642">
      <c r="A642" t="inlineStr">
        <is>
          <t>crop</t>
        </is>
      </c>
      <c r="B642" t="inlineStr">
        <is>
          <t>4.3</t>
        </is>
      </c>
      <c r="C642" t="inlineStr">
        <is>
          <t>Spinach-Amaranth</t>
        </is>
      </c>
    </row>
    <row r="643">
      <c r="A643" t="inlineStr">
        <is>
          <t>crop</t>
        </is>
      </c>
      <c r="B643" t="inlineStr">
        <is>
          <t>4.4</t>
        </is>
      </c>
      <c r="C643" t="inlineStr">
        <is>
          <t>Cassava leaves</t>
        </is>
      </c>
    </row>
    <row r="644">
      <c r="A644" t="inlineStr">
        <is>
          <t>crop</t>
        </is>
      </c>
      <c r="B644" t="inlineStr">
        <is>
          <t>4.5</t>
        </is>
      </c>
      <c r="C644" t="inlineStr">
        <is>
          <t>Potatoe leaves</t>
        </is>
      </c>
    </row>
    <row r="645">
      <c r="A645" t="inlineStr">
        <is>
          <t>crop</t>
        </is>
      </c>
      <c r="B645" t="inlineStr">
        <is>
          <t>4.6</t>
        </is>
      </c>
      <c r="C645" t="inlineStr">
        <is>
          <t>Moringa</t>
        </is>
      </c>
    </row>
    <row r="646">
      <c r="A646" t="inlineStr">
        <is>
          <t>crop</t>
        </is>
      </c>
      <c r="B646" t="inlineStr">
        <is>
          <t>4.7</t>
        </is>
      </c>
      <c r="C646" t="inlineStr">
        <is>
          <t>Sorrel Hibiscus / Rosselle</t>
        </is>
      </c>
    </row>
    <row r="647">
      <c r="A647" t="inlineStr">
        <is>
          <t>crop</t>
        </is>
      </c>
      <c r="B647" t="inlineStr">
        <is>
          <t>4.9</t>
        </is>
      </c>
      <c r="C647" t="inlineStr">
        <is>
          <t>Green salad herbs (thyme, parsley, mint, rocca, other)</t>
        </is>
      </c>
    </row>
    <row r="648">
      <c r="A648" t="inlineStr">
        <is>
          <t>crop</t>
        </is>
      </c>
      <c r="B648" t="inlineStr">
        <is>
          <t>4.99</t>
        </is>
      </c>
      <c r="C648" t="inlineStr">
        <is>
          <t>Other leafy vegetables</t>
        </is>
      </c>
    </row>
    <row r="649">
      <c r="A649" t="inlineStr">
        <is>
          <t>crop</t>
        </is>
      </c>
      <c r="B649" t="inlineStr">
        <is>
          <t>5.101</t>
        </is>
      </c>
      <c r="C649" t="inlineStr">
        <is>
          <t>Green peas</t>
        </is>
      </c>
    </row>
    <row r="650">
      <c r="A650" t="inlineStr">
        <is>
          <t>crop</t>
        </is>
      </c>
      <c r="B650" t="inlineStr">
        <is>
          <t>5.11</t>
        </is>
      </c>
      <c r="C650" t="inlineStr">
        <is>
          <t>Fava beans green</t>
        </is>
      </c>
    </row>
    <row r="651">
      <c r="A651" t="inlineStr">
        <is>
          <t>crop</t>
        </is>
      </c>
      <c r="B651" t="inlineStr">
        <is>
          <t>5.2</t>
        </is>
      </c>
      <c r="C651" t="inlineStr">
        <is>
          <t>Cucumber</t>
        </is>
      </c>
    </row>
    <row r="652">
      <c r="A652" t="inlineStr">
        <is>
          <t>crop</t>
        </is>
      </c>
      <c r="B652" t="inlineStr">
        <is>
          <t>5.3</t>
        </is>
      </c>
      <c r="C652" t="inlineStr">
        <is>
          <t>Pumpkin</t>
        </is>
      </c>
    </row>
    <row r="653">
      <c r="A653" t="inlineStr">
        <is>
          <t>crop</t>
        </is>
      </c>
      <c r="B653" t="inlineStr">
        <is>
          <t>5.4</t>
        </is>
      </c>
      <c r="C653" t="inlineStr">
        <is>
          <t>Eggplant/aubergine</t>
        </is>
      </c>
    </row>
    <row r="654">
      <c r="A654" t="inlineStr">
        <is>
          <t>crop</t>
        </is>
      </c>
      <c r="B654" t="inlineStr">
        <is>
          <t>5.5</t>
        </is>
      </c>
      <c r="C654" t="inlineStr">
        <is>
          <t>Zucchini</t>
        </is>
      </c>
    </row>
    <row r="655">
      <c r="A655" t="inlineStr">
        <is>
          <t>crop</t>
        </is>
      </c>
      <c r="B655" t="inlineStr">
        <is>
          <t>5.6</t>
        </is>
      </c>
      <c r="C655" t="inlineStr">
        <is>
          <t>Okra</t>
        </is>
      </c>
    </row>
    <row r="656">
      <c r="A656" t="inlineStr">
        <is>
          <t>crop</t>
        </is>
      </c>
      <c r="B656" t="inlineStr">
        <is>
          <t>5.7</t>
        </is>
      </c>
      <c r="C656" t="inlineStr">
        <is>
          <t>Bell pepper</t>
        </is>
      </c>
    </row>
    <row r="657">
      <c r="A657" t="inlineStr">
        <is>
          <t>crop</t>
        </is>
      </c>
      <c r="B657" t="inlineStr">
        <is>
          <t>5.8</t>
        </is>
      </c>
      <c r="C657" t="inlineStr">
        <is>
          <t>Onions</t>
        </is>
      </c>
    </row>
    <row r="658">
      <c r="A658" t="inlineStr">
        <is>
          <t>crop</t>
        </is>
      </c>
      <c r="B658" t="inlineStr">
        <is>
          <t>5.9</t>
        </is>
      </c>
      <c r="C658" t="inlineStr">
        <is>
          <t>Haricot</t>
        </is>
      </c>
    </row>
    <row r="659">
      <c r="A659" t="inlineStr">
        <is>
          <t>crop</t>
        </is>
      </c>
      <c r="B659" t="inlineStr">
        <is>
          <t>5.99</t>
        </is>
      </c>
      <c r="C659" t="inlineStr">
        <is>
          <t>Other non leafy vegs</t>
        </is>
      </c>
    </row>
    <row r="660">
      <c r="A660" t="inlineStr">
        <is>
          <t>crop</t>
        </is>
      </c>
      <c r="B660" t="inlineStr">
        <is>
          <t>6.1</t>
        </is>
      </c>
      <c r="C660" t="inlineStr">
        <is>
          <t>Orange</t>
        </is>
      </c>
    </row>
    <row r="661">
      <c r="A661" t="inlineStr">
        <is>
          <t>crop</t>
        </is>
      </c>
      <c r="B661" t="inlineStr">
        <is>
          <t>6.2</t>
        </is>
      </c>
      <c r="C661" t="inlineStr">
        <is>
          <t>Lemon</t>
        </is>
      </c>
    </row>
    <row r="662">
      <c r="A662" t="inlineStr">
        <is>
          <t>crop</t>
        </is>
      </c>
      <c r="B662" t="inlineStr">
        <is>
          <t>6.3</t>
        </is>
      </c>
      <c r="C662" t="inlineStr">
        <is>
          <t>Grapefruit</t>
        </is>
      </c>
    </row>
    <row r="663">
      <c r="A663" t="inlineStr">
        <is>
          <t>crop</t>
        </is>
      </c>
      <c r="B663" t="inlineStr">
        <is>
          <t>6.4</t>
        </is>
      </c>
      <c r="C663" t="inlineStr">
        <is>
          <t>Mandarins/clementines</t>
        </is>
      </c>
    </row>
    <row r="664">
      <c r="A664" t="inlineStr">
        <is>
          <t>crop</t>
        </is>
      </c>
      <c r="B664" t="inlineStr">
        <is>
          <t>6.99</t>
        </is>
      </c>
      <c r="C664" t="inlineStr">
        <is>
          <t>Other citrus fruit</t>
        </is>
      </c>
    </row>
    <row r="665">
      <c r="A665" t="inlineStr">
        <is>
          <t>crop</t>
        </is>
      </c>
      <c r="B665" t="inlineStr">
        <is>
          <t>7.1</t>
        </is>
      </c>
      <c r="C665" t="inlineStr">
        <is>
          <t>Sweet Banana</t>
        </is>
      </c>
    </row>
    <row r="666">
      <c r="A666" t="inlineStr">
        <is>
          <t>crop</t>
        </is>
      </c>
      <c r="B666" t="inlineStr">
        <is>
          <t>7.101</t>
        </is>
      </c>
      <c r="C666" t="inlineStr">
        <is>
          <t>Figs</t>
        </is>
      </c>
    </row>
    <row r="667">
      <c r="A667" t="inlineStr">
        <is>
          <t>crop</t>
        </is>
      </c>
      <c r="B667" t="inlineStr">
        <is>
          <t>7.11</t>
        </is>
      </c>
      <c r="C667" t="inlineStr">
        <is>
          <t>Grapes</t>
        </is>
      </c>
    </row>
    <row r="668">
      <c r="A668" t="inlineStr">
        <is>
          <t>crop</t>
        </is>
      </c>
      <c r="B668" t="inlineStr">
        <is>
          <t>7.12</t>
        </is>
      </c>
      <c r="C668" t="inlineStr">
        <is>
          <t>Olives</t>
        </is>
      </c>
    </row>
    <row r="669">
      <c r="A669" t="inlineStr">
        <is>
          <t>crop</t>
        </is>
      </c>
      <c r="B669" t="inlineStr">
        <is>
          <t>7.13</t>
        </is>
      </c>
      <c r="C669" t="inlineStr">
        <is>
          <t>Apple</t>
        </is>
      </c>
    </row>
    <row r="670">
      <c r="A670" t="inlineStr">
        <is>
          <t>crop</t>
        </is>
      </c>
      <c r="B670" t="inlineStr">
        <is>
          <t>7.14</t>
        </is>
      </c>
      <c r="C670" t="inlineStr">
        <is>
          <t>Apricot</t>
        </is>
      </c>
    </row>
    <row r="671">
      <c r="A671" t="inlineStr">
        <is>
          <t>crop</t>
        </is>
      </c>
      <c r="B671" t="inlineStr">
        <is>
          <t>7.15</t>
        </is>
      </c>
      <c r="C671" t="inlineStr">
        <is>
          <t>Cherries</t>
        </is>
      </c>
    </row>
    <row r="672">
      <c r="A672" t="inlineStr">
        <is>
          <t>crop</t>
        </is>
      </c>
      <c r="B672" t="inlineStr">
        <is>
          <t>7.16</t>
        </is>
      </c>
      <c r="C672" t="inlineStr">
        <is>
          <t>Peach/nectarine</t>
        </is>
      </c>
    </row>
    <row r="673">
      <c r="A673" t="inlineStr">
        <is>
          <t>crop</t>
        </is>
      </c>
      <c r="B673" t="inlineStr">
        <is>
          <t>7.17</t>
        </is>
      </c>
      <c r="C673" t="inlineStr">
        <is>
          <t>Strawberries</t>
        </is>
      </c>
    </row>
    <row r="674">
      <c r="A674" t="inlineStr">
        <is>
          <t>crop</t>
        </is>
      </c>
      <c r="B674" t="inlineStr">
        <is>
          <t>7.2</t>
        </is>
      </c>
      <c r="C674" t="inlineStr">
        <is>
          <t>Plantains</t>
        </is>
      </c>
    </row>
    <row r="675">
      <c r="A675" t="inlineStr">
        <is>
          <t>crop</t>
        </is>
      </c>
      <c r="B675" t="inlineStr">
        <is>
          <t>7.3</t>
        </is>
      </c>
      <c r="C675" t="inlineStr">
        <is>
          <t>Papaya</t>
        </is>
      </c>
    </row>
    <row r="676">
      <c r="A676" t="inlineStr">
        <is>
          <t>crop</t>
        </is>
      </c>
      <c r="B676" t="inlineStr">
        <is>
          <t>7.4</t>
        </is>
      </c>
      <c r="C676" t="inlineStr">
        <is>
          <t>Mango</t>
        </is>
      </c>
    </row>
    <row r="677">
      <c r="A677" t="inlineStr">
        <is>
          <t>crop</t>
        </is>
      </c>
      <c r="B677" t="inlineStr">
        <is>
          <t>7.5</t>
        </is>
      </c>
      <c r="C677" t="inlineStr">
        <is>
          <t>Guava</t>
        </is>
      </c>
    </row>
    <row r="678">
      <c r="A678" t="inlineStr">
        <is>
          <t>crop</t>
        </is>
      </c>
      <c r="B678" t="inlineStr">
        <is>
          <t>7.6</t>
        </is>
      </c>
      <c r="C678" t="inlineStr">
        <is>
          <t>Pineapple</t>
        </is>
      </c>
    </row>
    <row r="679">
      <c r="A679" t="inlineStr">
        <is>
          <t>crop</t>
        </is>
      </c>
      <c r="B679" t="inlineStr">
        <is>
          <t>7.7</t>
        </is>
      </c>
      <c r="C679" t="inlineStr">
        <is>
          <t>Avocado</t>
        </is>
      </c>
    </row>
    <row r="680">
      <c r="A680" t="inlineStr">
        <is>
          <t>crop</t>
        </is>
      </c>
      <c r="B680" t="inlineStr">
        <is>
          <t>7.9</t>
        </is>
      </c>
      <c r="C680" t="inlineStr">
        <is>
          <t>Dates</t>
        </is>
      </c>
    </row>
    <row r="681">
      <c r="A681" t="inlineStr">
        <is>
          <t>crop</t>
        </is>
      </c>
      <c r="B681" t="inlineStr">
        <is>
          <t>7.99</t>
        </is>
      </c>
      <c r="C681" t="inlineStr">
        <is>
          <t>Other fruit</t>
        </is>
      </c>
    </row>
    <row r="682">
      <c r="A682" t="inlineStr">
        <is>
          <t>crop</t>
        </is>
      </c>
      <c r="B682" t="inlineStr">
        <is>
          <t>8.1</t>
        </is>
      </c>
      <c r="C682" t="inlineStr">
        <is>
          <t>Coconuts</t>
        </is>
      </c>
    </row>
    <row r="683">
      <c r="A683" t="inlineStr">
        <is>
          <t>crop</t>
        </is>
      </c>
      <c r="B683" t="inlineStr">
        <is>
          <t>8.2</t>
        </is>
      </c>
      <c r="C683" t="inlineStr">
        <is>
          <t>Groundnut/peanut</t>
        </is>
      </c>
    </row>
    <row r="684">
      <c r="A684" t="inlineStr">
        <is>
          <t>crop</t>
        </is>
      </c>
      <c r="B684" t="inlineStr">
        <is>
          <t>8.3</t>
        </is>
      </c>
      <c r="C684" t="inlineStr">
        <is>
          <t>Cashew Nut</t>
        </is>
      </c>
    </row>
    <row r="685">
      <c r="A685" t="inlineStr">
        <is>
          <t>crop</t>
        </is>
      </c>
      <c r="B685" t="inlineStr">
        <is>
          <t>8.4</t>
        </is>
      </c>
      <c r="C685" t="inlineStr">
        <is>
          <t>Kola Nut</t>
        </is>
      </c>
    </row>
    <row r="686">
      <c r="A686" t="inlineStr">
        <is>
          <t>crop</t>
        </is>
      </c>
      <c r="B686" t="inlineStr">
        <is>
          <t>8.5</t>
        </is>
      </c>
      <c r="C686" t="inlineStr">
        <is>
          <t>Sesame</t>
        </is>
      </c>
    </row>
    <row r="687">
      <c r="A687" t="inlineStr">
        <is>
          <t>crop</t>
        </is>
      </c>
      <c r="B687" t="inlineStr">
        <is>
          <t>8.6</t>
        </is>
      </c>
      <c r="C687" t="inlineStr">
        <is>
          <t>Bambara nut</t>
        </is>
      </c>
    </row>
    <row r="688">
      <c r="A688" t="inlineStr">
        <is>
          <t>crop</t>
        </is>
      </c>
      <c r="B688" t="inlineStr">
        <is>
          <t>8.7</t>
        </is>
      </c>
      <c r="C688" t="inlineStr">
        <is>
          <t>Almond</t>
        </is>
      </c>
    </row>
    <row r="689">
      <c r="A689" t="inlineStr">
        <is>
          <t>crop</t>
        </is>
      </c>
      <c r="B689" t="inlineStr">
        <is>
          <t>8.8</t>
        </is>
      </c>
      <c r="C689" t="inlineStr">
        <is>
          <t>Walnut</t>
        </is>
      </c>
    </row>
    <row r="690">
      <c r="A690" t="inlineStr">
        <is>
          <t>crop</t>
        </is>
      </c>
      <c r="B690" t="inlineStr">
        <is>
          <t>8.99</t>
        </is>
      </c>
      <c r="C690" t="inlineStr">
        <is>
          <t>Other nuts</t>
        </is>
      </c>
    </row>
    <row r="691">
      <c r="A691" t="inlineStr">
        <is>
          <t>crop</t>
        </is>
      </c>
      <c r="B691" t="inlineStr">
        <is>
          <t>9.1</t>
        </is>
      </c>
      <c r="C691" t="inlineStr">
        <is>
          <t>Cocoa</t>
        </is>
      </c>
    </row>
    <row r="692">
      <c r="A692" t="inlineStr">
        <is>
          <t>crop</t>
        </is>
      </c>
      <c r="B692" t="inlineStr">
        <is>
          <t>9.2</t>
        </is>
      </c>
      <c r="C692" t="inlineStr">
        <is>
          <t>Coffee</t>
        </is>
      </c>
    </row>
    <row r="693">
      <c r="A693" t="inlineStr">
        <is>
          <t>crop</t>
        </is>
      </c>
      <c r="B693" t="inlineStr">
        <is>
          <t>9.3</t>
        </is>
      </c>
      <c r="C693" t="inlineStr">
        <is>
          <t>Tea</t>
        </is>
      </c>
    </row>
    <row r="694">
      <c r="A694" t="inlineStr">
        <is>
          <t>crop</t>
        </is>
      </c>
      <c r="B694" t="inlineStr">
        <is>
          <t>9.5</t>
        </is>
      </c>
      <c r="C694" t="inlineStr">
        <is>
          <t>Sunflower</t>
        </is>
      </c>
    </row>
    <row r="695">
      <c r="A695" t="inlineStr">
        <is>
          <t>crop</t>
        </is>
      </c>
      <c r="B695" t="inlineStr">
        <is>
          <t>9.99</t>
        </is>
      </c>
      <c r="C695" t="inlineStr">
        <is>
          <t>Other food cash crop</t>
        </is>
      </c>
    </row>
    <row r="696">
      <c r="A696" t="inlineStr">
        <is>
          <t>crop</t>
        </is>
      </c>
      <c r="B696" t="inlineStr">
        <is>
          <t>10.1</t>
        </is>
      </c>
      <c r="C696" t="inlineStr">
        <is>
          <t>Cotton</t>
        </is>
      </c>
    </row>
    <row r="697">
      <c r="A697" t="inlineStr">
        <is>
          <t>crop</t>
        </is>
      </c>
      <c r="B697" t="inlineStr">
        <is>
          <t>10.2</t>
        </is>
      </c>
      <c r="C697" t="inlineStr">
        <is>
          <t>Rubber</t>
        </is>
      </c>
    </row>
    <row r="698">
      <c r="A698" t="inlineStr">
        <is>
          <t>crop</t>
        </is>
      </c>
      <c r="B698" t="inlineStr">
        <is>
          <t>10.3</t>
        </is>
      </c>
      <c r="C698" t="inlineStr">
        <is>
          <t>Jute</t>
        </is>
      </c>
    </row>
    <row r="699">
      <c r="A699" t="inlineStr">
        <is>
          <t>crop</t>
        </is>
      </c>
      <c r="B699" t="inlineStr">
        <is>
          <t>10.4</t>
        </is>
      </c>
      <c r="C699" t="inlineStr">
        <is>
          <t>Fodder</t>
        </is>
      </c>
    </row>
    <row r="700">
      <c r="A700" t="inlineStr">
        <is>
          <t>crop</t>
        </is>
      </c>
      <c r="B700" t="inlineStr">
        <is>
          <t>10.5</t>
        </is>
      </c>
      <c r="C700" t="inlineStr">
        <is>
          <t>Tobacco</t>
        </is>
      </c>
    </row>
    <row r="701">
      <c r="A701" t="inlineStr">
        <is>
          <t>crop</t>
        </is>
      </c>
      <c r="B701" t="inlineStr">
        <is>
          <t>10.6</t>
        </is>
      </c>
      <c r="C701" t="inlineStr">
        <is>
          <t>Qat</t>
        </is>
      </c>
    </row>
    <row r="702">
      <c r="A702" t="inlineStr">
        <is>
          <t>crop</t>
        </is>
      </c>
      <c r="B702" t="inlineStr">
        <is>
          <t>10.99</t>
        </is>
      </c>
      <c r="C702" t="inlineStr">
        <is>
          <t>Other non-food cash crop</t>
        </is>
      </c>
    </row>
    <row r="703">
      <c r="A703" t="inlineStr">
        <is>
          <t>crop</t>
        </is>
      </c>
      <c r="B703" t="inlineStr">
        <is>
          <t>777</t>
        </is>
      </c>
      <c r="C703" t="inlineStr">
        <is>
          <t>No crop production</t>
        </is>
      </c>
    </row>
    <row r="704">
      <c r="A704" t="inlineStr">
        <is>
          <t>crop</t>
        </is>
      </c>
      <c r="B704" t="inlineStr">
        <is>
          <t>888</t>
        </is>
      </c>
      <c r="C704" t="inlineStr">
        <is>
          <t>Don't know</t>
        </is>
      </c>
    </row>
    <row r="705">
      <c r="A705" t="inlineStr">
        <is>
          <t>crop</t>
        </is>
      </c>
      <c r="B705" t="inlineStr">
        <is>
          <t>999</t>
        </is>
      </c>
      <c r="C705" t="inlineStr">
        <is>
          <t>Refused</t>
        </is>
      </c>
    </row>
    <row r="706"/>
    <row r="707">
      <c r="A707" t="inlineStr">
        <is>
          <t>crop2</t>
        </is>
      </c>
      <c r="B707" t="inlineStr">
        <is>
          <t>1.1</t>
        </is>
      </c>
      <c r="C707" t="inlineStr">
        <is>
          <t>Rice</t>
        </is>
      </c>
    </row>
    <row r="708">
      <c r="A708" t="inlineStr">
        <is>
          <t>crop2</t>
        </is>
      </c>
      <c r="B708" t="inlineStr">
        <is>
          <t>1.2</t>
        </is>
      </c>
      <c r="C708" t="inlineStr">
        <is>
          <t>Wheat</t>
        </is>
      </c>
    </row>
    <row r="709">
      <c r="A709" t="inlineStr">
        <is>
          <t>crop2</t>
        </is>
      </c>
      <c r="B709" t="inlineStr">
        <is>
          <t>1.5</t>
        </is>
      </c>
      <c r="C709" t="inlineStr">
        <is>
          <t>Maize</t>
        </is>
      </c>
    </row>
    <row r="710">
      <c r="A710" t="inlineStr">
        <is>
          <t>crop2</t>
        </is>
      </c>
      <c r="B710" t="inlineStr">
        <is>
          <t>1.6</t>
        </is>
      </c>
      <c r="C710" t="inlineStr">
        <is>
          <t>Barley</t>
        </is>
      </c>
    </row>
    <row r="711">
      <c r="A711" t="inlineStr">
        <is>
          <t>crop2</t>
        </is>
      </c>
      <c r="B711" t="inlineStr">
        <is>
          <t>2.2</t>
        </is>
      </c>
      <c r="C711" t="inlineStr">
        <is>
          <t>Potatoe</t>
        </is>
      </c>
    </row>
    <row r="712">
      <c r="A712" t="inlineStr">
        <is>
          <t>crop2</t>
        </is>
      </c>
      <c r="B712" t="inlineStr">
        <is>
          <t>3.1</t>
        </is>
      </c>
      <c r="C712" t="inlineStr">
        <is>
          <t>Beans</t>
        </is>
      </c>
    </row>
    <row r="713">
      <c r="A713" t="inlineStr">
        <is>
          <t>crop2</t>
        </is>
      </c>
      <c r="B713" t="inlineStr">
        <is>
          <t>5.1</t>
        </is>
      </c>
      <c r="C713" t="inlineStr">
        <is>
          <t>Tomatoes</t>
        </is>
      </c>
    </row>
    <row r="714">
      <c r="A714" t="inlineStr">
        <is>
          <t>crop2</t>
        </is>
      </c>
      <c r="B714" t="inlineStr">
        <is>
          <t>7.18</t>
        </is>
      </c>
      <c r="C714" t="inlineStr">
        <is>
          <t>Melon (Cantaloupe)</t>
        </is>
      </c>
    </row>
    <row r="715">
      <c r="A715" t="inlineStr">
        <is>
          <t>crop2</t>
        </is>
      </c>
      <c r="B715" t="inlineStr">
        <is>
          <t>7.8</t>
        </is>
      </c>
      <c r="C715" t="inlineStr">
        <is>
          <t>Water Melon</t>
        </is>
      </c>
    </row>
    <row r="716">
      <c r="A716" t="inlineStr">
        <is>
          <t>crop2</t>
        </is>
      </c>
      <c r="B716" t="inlineStr">
        <is>
          <t>9.4</t>
        </is>
      </c>
      <c r="C716" t="inlineStr">
        <is>
          <t>Sugarcane</t>
        </is>
      </c>
    </row>
    <row r="717">
      <c r="A717" t="inlineStr">
        <is>
          <t>crop2</t>
        </is>
      </c>
      <c r="B717" t="inlineStr">
        <is>
          <t>1.3</t>
        </is>
      </c>
      <c r="C717" t="inlineStr">
        <is>
          <t>Millet</t>
        </is>
      </c>
    </row>
    <row r="718">
      <c r="A718" t="inlineStr">
        <is>
          <t>crop2</t>
        </is>
      </c>
      <c r="B718" t="inlineStr">
        <is>
          <t>1.4</t>
        </is>
      </c>
      <c r="C718" t="inlineStr">
        <is>
          <t>Sorghum</t>
        </is>
      </c>
    </row>
    <row r="719">
      <c r="A719" t="inlineStr">
        <is>
          <t>crop2</t>
        </is>
      </c>
      <c r="B719" t="inlineStr">
        <is>
          <t>1.99</t>
        </is>
      </c>
      <c r="C719" t="inlineStr">
        <is>
          <t>Other Cereal</t>
        </is>
      </c>
    </row>
    <row r="720">
      <c r="A720" t="inlineStr">
        <is>
          <t>crop2</t>
        </is>
      </c>
      <c r="B720" t="inlineStr">
        <is>
          <t>2.1</t>
        </is>
      </c>
      <c r="C720" t="inlineStr">
        <is>
          <t>Cassava</t>
        </is>
      </c>
    </row>
    <row r="721">
      <c r="A721" t="inlineStr">
        <is>
          <t>crop2</t>
        </is>
      </c>
      <c r="B721" t="inlineStr">
        <is>
          <t>2.3</t>
        </is>
      </c>
      <c r="C721" t="inlineStr">
        <is>
          <t>Sweet Potatoes</t>
        </is>
      </c>
    </row>
    <row r="722">
      <c r="A722" t="inlineStr">
        <is>
          <t>crop2</t>
        </is>
      </c>
      <c r="B722" t="inlineStr">
        <is>
          <t>2.4</t>
        </is>
      </c>
      <c r="C722" t="inlineStr">
        <is>
          <t>Yams</t>
        </is>
      </c>
    </row>
    <row r="723">
      <c r="A723" t="inlineStr">
        <is>
          <t>crop2</t>
        </is>
      </c>
      <c r="B723" t="inlineStr">
        <is>
          <t>2.5</t>
        </is>
      </c>
      <c r="C723" t="inlineStr">
        <is>
          <t>Carrots</t>
        </is>
      </c>
    </row>
    <row r="724">
      <c r="A724" t="inlineStr">
        <is>
          <t>crop2</t>
        </is>
      </c>
      <c r="B724" t="inlineStr">
        <is>
          <t>2.6</t>
        </is>
      </c>
      <c r="C724" t="inlineStr">
        <is>
          <t>Cocoyam</t>
        </is>
      </c>
    </row>
    <row r="725">
      <c r="A725" t="inlineStr">
        <is>
          <t>crop2</t>
        </is>
      </c>
      <c r="B725" t="inlineStr">
        <is>
          <t>2.99</t>
        </is>
      </c>
      <c r="C725" t="inlineStr">
        <is>
          <t>Other tubers</t>
        </is>
      </c>
    </row>
    <row r="726">
      <c r="A726" t="inlineStr">
        <is>
          <t>crop2</t>
        </is>
      </c>
      <c r="B726" t="inlineStr">
        <is>
          <t>3.2</t>
        </is>
      </c>
      <c r="C726" t="inlineStr">
        <is>
          <t>Lentils</t>
        </is>
      </c>
    </row>
    <row r="727">
      <c r="A727" t="inlineStr">
        <is>
          <t>crop2</t>
        </is>
      </c>
      <c r="B727" t="inlineStr">
        <is>
          <t>3.3</t>
        </is>
      </c>
      <c r="C727" t="inlineStr">
        <is>
          <t>Peas</t>
        </is>
      </c>
    </row>
    <row r="728">
      <c r="A728" t="inlineStr">
        <is>
          <t>crop2</t>
        </is>
      </c>
      <c r="B728" t="inlineStr">
        <is>
          <t>3.4</t>
        </is>
      </c>
      <c r="C728" t="inlineStr">
        <is>
          <t>Soybeans</t>
        </is>
      </c>
    </row>
    <row r="729">
      <c r="A729" t="inlineStr">
        <is>
          <t>crop2</t>
        </is>
      </c>
      <c r="B729" t="inlineStr">
        <is>
          <t>3.5</t>
        </is>
      </c>
      <c r="C729" t="inlineStr">
        <is>
          <t>Chickpeas</t>
        </is>
      </c>
    </row>
    <row r="730">
      <c r="A730" t="inlineStr">
        <is>
          <t>crop2</t>
        </is>
      </c>
      <c r="B730" t="inlineStr">
        <is>
          <t>3.6</t>
        </is>
      </c>
      <c r="C730" t="inlineStr">
        <is>
          <t>Fava beans</t>
        </is>
      </c>
    </row>
    <row r="731">
      <c r="A731" t="inlineStr">
        <is>
          <t>crop2</t>
        </is>
      </c>
      <c r="B731" t="inlineStr">
        <is>
          <t>3.7</t>
        </is>
      </c>
      <c r="C731" t="inlineStr">
        <is>
          <t>Broad beans</t>
        </is>
      </c>
    </row>
    <row r="732">
      <c r="A732" t="inlineStr">
        <is>
          <t>crop2</t>
        </is>
      </c>
      <c r="B732" t="inlineStr">
        <is>
          <t>3.99</t>
        </is>
      </c>
      <c r="C732" t="inlineStr">
        <is>
          <t>Other pulses</t>
        </is>
      </c>
    </row>
    <row r="733">
      <c r="A733" t="inlineStr">
        <is>
          <t>crop2</t>
        </is>
      </c>
      <c r="B733" t="inlineStr">
        <is>
          <t>4.1</t>
        </is>
      </c>
      <c r="C733" t="inlineStr">
        <is>
          <t>Cabbage</t>
        </is>
      </c>
    </row>
    <row r="734">
      <c r="A734" t="inlineStr">
        <is>
          <t>crop2</t>
        </is>
      </c>
      <c r="B734" t="inlineStr">
        <is>
          <t>4.101</t>
        </is>
      </c>
      <c r="C734" t="inlineStr">
        <is>
          <t>Cauliflower</t>
        </is>
      </c>
    </row>
    <row r="735">
      <c r="A735" t="inlineStr">
        <is>
          <t>crop2</t>
        </is>
      </c>
      <c r="B735" t="inlineStr">
        <is>
          <t>4.2</t>
        </is>
      </c>
      <c r="C735" t="inlineStr">
        <is>
          <t>Lettuce</t>
        </is>
      </c>
    </row>
    <row r="736">
      <c r="A736" t="inlineStr">
        <is>
          <t>crop2</t>
        </is>
      </c>
      <c r="B736" t="inlineStr">
        <is>
          <t>4.3</t>
        </is>
      </c>
      <c r="C736" t="inlineStr">
        <is>
          <t>Spinach-Amaranth</t>
        </is>
      </c>
    </row>
    <row r="737">
      <c r="A737" t="inlineStr">
        <is>
          <t>crop2</t>
        </is>
      </c>
      <c r="B737" t="inlineStr">
        <is>
          <t>4.4</t>
        </is>
      </c>
      <c r="C737" t="inlineStr">
        <is>
          <t>Cassava leaves</t>
        </is>
      </c>
    </row>
    <row r="738">
      <c r="A738" t="inlineStr">
        <is>
          <t>crop2</t>
        </is>
      </c>
      <c r="B738" t="inlineStr">
        <is>
          <t>4.5</t>
        </is>
      </c>
      <c r="C738" t="inlineStr">
        <is>
          <t>Potatoe leaves</t>
        </is>
      </c>
    </row>
    <row r="739">
      <c r="A739" t="inlineStr">
        <is>
          <t>crop2</t>
        </is>
      </c>
      <c r="B739" t="inlineStr">
        <is>
          <t>4.6</t>
        </is>
      </c>
      <c r="C739" t="inlineStr">
        <is>
          <t>Moringa</t>
        </is>
      </c>
    </row>
    <row r="740">
      <c r="A740" t="inlineStr">
        <is>
          <t>crop2</t>
        </is>
      </c>
      <c r="B740" t="inlineStr">
        <is>
          <t>4.7</t>
        </is>
      </c>
      <c r="C740" t="inlineStr">
        <is>
          <t>Sorrel Hibiscus / Rosselle</t>
        </is>
      </c>
    </row>
    <row r="741">
      <c r="A741" t="inlineStr">
        <is>
          <t>crop2</t>
        </is>
      </c>
      <c r="B741" t="inlineStr">
        <is>
          <t>4.9</t>
        </is>
      </c>
      <c r="C741" t="inlineStr">
        <is>
          <t>Green salad herbs (thyme, parsley, mint, rocca, other)</t>
        </is>
      </c>
    </row>
    <row r="742">
      <c r="A742" t="inlineStr">
        <is>
          <t>crop2</t>
        </is>
      </c>
      <c r="B742" t="inlineStr">
        <is>
          <t>4.99</t>
        </is>
      </c>
      <c r="C742" t="inlineStr">
        <is>
          <t>Other leafy vegetables</t>
        </is>
      </c>
    </row>
    <row r="743">
      <c r="A743" t="inlineStr">
        <is>
          <t>crop2</t>
        </is>
      </c>
      <c r="B743" t="inlineStr">
        <is>
          <t>5.101</t>
        </is>
      </c>
      <c r="C743" t="inlineStr">
        <is>
          <t>Green peas</t>
        </is>
      </c>
    </row>
    <row r="744">
      <c r="A744" t="inlineStr">
        <is>
          <t>crop2</t>
        </is>
      </c>
      <c r="B744" t="inlineStr">
        <is>
          <t>5.11</t>
        </is>
      </c>
      <c r="C744" t="inlineStr">
        <is>
          <t>Fava beans green</t>
        </is>
      </c>
    </row>
    <row r="745">
      <c r="A745" t="inlineStr">
        <is>
          <t>crop2</t>
        </is>
      </c>
      <c r="B745" t="inlineStr">
        <is>
          <t>5.2</t>
        </is>
      </c>
      <c r="C745" t="inlineStr">
        <is>
          <t>Cucumber</t>
        </is>
      </c>
    </row>
    <row r="746">
      <c r="A746" t="inlineStr">
        <is>
          <t>crop2</t>
        </is>
      </c>
      <c r="B746" t="inlineStr">
        <is>
          <t>5.3</t>
        </is>
      </c>
      <c r="C746" t="inlineStr">
        <is>
          <t>Pumpkin</t>
        </is>
      </c>
    </row>
    <row r="747">
      <c r="A747" t="inlineStr">
        <is>
          <t>crop2</t>
        </is>
      </c>
      <c r="B747" t="inlineStr">
        <is>
          <t>5.4</t>
        </is>
      </c>
      <c r="C747" t="inlineStr">
        <is>
          <t>Eggplant/aubergine</t>
        </is>
      </c>
    </row>
    <row r="748">
      <c r="A748" t="inlineStr">
        <is>
          <t>crop2</t>
        </is>
      </c>
      <c r="B748" t="inlineStr">
        <is>
          <t>5.5</t>
        </is>
      </c>
      <c r="C748" t="inlineStr">
        <is>
          <t>Zucchini</t>
        </is>
      </c>
    </row>
    <row r="749">
      <c r="A749" t="inlineStr">
        <is>
          <t>crop2</t>
        </is>
      </c>
      <c r="B749" t="inlineStr">
        <is>
          <t>5.6</t>
        </is>
      </c>
      <c r="C749" t="inlineStr">
        <is>
          <t>Okra</t>
        </is>
      </c>
    </row>
    <row r="750">
      <c r="A750" t="inlineStr">
        <is>
          <t>crop2</t>
        </is>
      </c>
      <c r="B750" t="inlineStr">
        <is>
          <t>5.7</t>
        </is>
      </c>
      <c r="C750" t="inlineStr">
        <is>
          <t>Bell pepper</t>
        </is>
      </c>
    </row>
    <row r="751">
      <c r="A751" t="inlineStr">
        <is>
          <t>crop2</t>
        </is>
      </c>
      <c r="B751" t="inlineStr">
        <is>
          <t>5.8</t>
        </is>
      </c>
      <c r="C751" t="inlineStr">
        <is>
          <t>Onions</t>
        </is>
      </c>
    </row>
    <row r="752">
      <c r="A752" t="inlineStr">
        <is>
          <t>crop2</t>
        </is>
      </c>
      <c r="B752" t="inlineStr">
        <is>
          <t>5.9</t>
        </is>
      </c>
      <c r="C752" t="inlineStr">
        <is>
          <t>Haricot</t>
        </is>
      </c>
    </row>
    <row r="753">
      <c r="A753" t="inlineStr">
        <is>
          <t>crop2</t>
        </is>
      </c>
      <c r="B753" t="inlineStr">
        <is>
          <t>5.99</t>
        </is>
      </c>
      <c r="C753" t="inlineStr">
        <is>
          <t>Other non leafy vegs</t>
        </is>
      </c>
    </row>
    <row r="754">
      <c r="A754" t="inlineStr">
        <is>
          <t>crop2</t>
        </is>
      </c>
      <c r="B754" t="inlineStr">
        <is>
          <t>6.1</t>
        </is>
      </c>
      <c r="C754" t="inlineStr">
        <is>
          <t>Orange</t>
        </is>
      </c>
    </row>
    <row r="755">
      <c r="A755" t="inlineStr">
        <is>
          <t>crop2</t>
        </is>
      </c>
      <c r="B755" t="inlineStr">
        <is>
          <t>6.2</t>
        </is>
      </c>
      <c r="C755" t="inlineStr">
        <is>
          <t>Lemon</t>
        </is>
      </c>
    </row>
    <row r="756">
      <c r="A756" t="inlineStr">
        <is>
          <t>crop2</t>
        </is>
      </c>
      <c r="B756" t="inlineStr">
        <is>
          <t>6.3</t>
        </is>
      </c>
      <c r="C756" t="inlineStr">
        <is>
          <t>Grapefruit</t>
        </is>
      </c>
    </row>
    <row r="757">
      <c r="A757" t="inlineStr">
        <is>
          <t>crop2</t>
        </is>
      </c>
      <c r="B757" t="inlineStr">
        <is>
          <t>6.4</t>
        </is>
      </c>
      <c r="C757" t="inlineStr">
        <is>
          <t>Mandarins/clementines</t>
        </is>
      </c>
    </row>
    <row r="758">
      <c r="A758" t="inlineStr">
        <is>
          <t>crop2</t>
        </is>
      </c>
      <c r="B758" t="inlineStr">
        <is>
          <t>6.99</t>
        </is>
      </c>
      <c r="C758" t="inlineStr">
        <is>
          <t>Other citrus fruit</t>
        </is>
      </c>
    </row>
    <row r="759">
      <c r="A759" t="inlineStr">
        <is>
          <t>crop2</t>
        </is>
      </c>
      <c r="B759" t="inlineStr">
        <is>
          <t>7.1</t>
        </is>
      </c>
      <c r="C759" t="inlineStr">
        <is>
          <t>Sweet Banana</t>
        </is>
      </c>
    </row>
    <row r="760">
      <c r="A760" t="inlineStr">
        <is>
          <t>crop2</t>
        </is>
      </c>
      <c r="B760" t="inlineStr">
        <is>
          <t>7.101</t>
        </is>
      </c>
      <c r="C760" t="inlineStr">
        <is>
          <t>Figs</t>
        </is>
      </c>
    </row>
    <row r="761">
      <c r="A761" t="inlineStr">
        <is>
          <t>crop2</t>
        </is>
      </c>
      <c r="B761" t="inlineStr">
        <is>
          <t>7.11</t>
        </is>
      </c>
      <c r="C761" t="inlineStr">
        <is>
          <t>Grapes</t>
        </is>
      </c>
    </row>
    <row r="762">
      <c r="A762" t="inlineStr">
        <is>
          <t>crop2</t>
        </is>
      </c>
      <c r="B762" t="inlineStr">
        <is>
          <t>7.12</t>
        </is>
      </c>
      <c r="C762" t="inlineStr">
        <is>
          <t>Olives</t>
        </is>
      </c>
    </row>
    <row r="763">
      <c r="A763" t="inlineStr">
        <is>
          <t>crop2</t>
        </is>
      </c>
      <c r="B763" t="inlineStr">
        <is>
          <t>7.13</t>
        </is>
      </c>
      <c r="C763" t="inlineStr">
        <is>
          <t>Apple</t>
        </is>
      </c>
    </row>
    <row r="764">
      <c r="A764" t="inlineStr">
        <is>
          <t>crop2</t>
        </is>
      </c>
      <c r="B764" t="inlineStr">
        <is>
          <t>7.14</t>
        </is>
      </c>
      <c r="C764" t="inlineStr">
        <is>
          <t>Apricot</t>
        </is>
      </c>
    </row>
    <row r="765">
      <c r="A765" t="inlineStr">
        <is>
          <t>crop2</t>
        </is>
      </c>
      <c r="B765" t="inlineStr">
        <is>
          <t>7.15</t>
        </is>
      </c>
      <c r="C765" t="inlineStr">
        <is>
          <t>Cherries</t>
        </is>
      </c>
    </row>
    <row r="766">
      <c r="A766" t="inlineStr">
        <is>
          <t>crop2</t>
        </is>
      </c>
      <c r="B766" t="inlineStr">
        <is>
          <t>7.16</t>
        </is>
      </c>
      <c r="C766" t="inlineStr">
        <is>
          <t>Peach/nectarine</t>
        </is>
      </c>
    </row>
    <row r="767">
      <c r="A767" t="inlineStr">
        <is>
          <t>crop2</t>
        </is>
      </c>
      <c r="B767" t="inlineStr">
        <is>
          <t>7.17</t>
        </is>
      </c>
      <c r="C767" t="inlineStr">
        <is>
          <t>Strawberries</t>
        </is>
      </c>
    </row>
    <row r="768">
      <c r="A768" t="inlineStr">
        <is>
          <t>crop2</t>
        </is>
      </c>
      <c r="B768" t="inlineStr">
        <is>
          <t>7.2</t>
        </is>
      </c>
      <c r="C768" t="inlineStr">
        <is>
          <t>Plantains</t>
        </is>
      </c>
    </row>
    <row r="769">
      <c r="A769" t="inlineStr">
        <is>
          <t>crop2</t>
        </is>
      </c>
      <c r="B769" t="inlineStr">
        <is>
          <t>7.3</t>
        </is>
      </c>
      <c r="C769" t="inlineStr">
        <is>
          <t>Papaya</t>
        </is>
      </c>
    </row>
    <row r="770">
      <c r="A770" t="inlineStr">
        <is>
          <t>crop2</t>
        </is>
      </c>
      <c r="B770" t="inlineStr">
        <is>
          <t>7.4</t>
        </is>
      </c>
      <c r="C770" t="inlineStr">
        <is>
          <t>Mango</t>
        </is>
      </c>
    </row>
    <row r="771">
      <c r="A771" t="inlineStr">
        <is>
          <t>crop2</t>
        </is>
      </c>
      <c r="B771" t="inlineStr">
        <is>
          <t>7.5</t>
        </is>
      </c>
      <c r="C771" t="inlineStr">
        <is>
          <t>Guava</t>
        </is>
      </c>
    </row>
    <row r="772">
      <c r="A772" t="inlineStr">
        <is>
          <t>crop2</t>
        </is>
      </c>
      <c r="B772" t="inlineStr">
        <is>
          <t>7.6</t>
        </is>
      </c>
      <c r="C772" t="inlineStr">
        <is>
          <t>Pineapple</t>
        </is>
      </c>
    </row>
    <row r="773">
      <c r="A773" t="inlineStr">
        <is>
          <t>crop2</t>
        </is>
      </c>
      <c r="B773" t="inlineStr">
        <is>
          <t>7.7</t>
        </is>
      </c>
      <c r="C773" t="inlineStr">
        <is>
          <t>Avocado</t>
        </is>
      </c>
    </row>
    <row r="774">
      <c r="A774" t="inlineStr">
        <is>
          <t>crop2</t>
        </is>
      </c>
      <c r="B774" t="inlineStr">
        <is>
          <t>7.9</t>
        </is>
      </c>
      <c r="C774" t="inlineStr">
        <is>
          <t>Dates</t>
        </is>
      </c>
    </row>
    <row r="775">
      <c r="A775" t="inlineStr">
        <is>
          <t>crop2</t>
        </is>
      </c>
      <c r="B775" t="inlineStr">
        <is>
          <t>7.99</t>
        </is>
      </c>
      <c r="C775" t="inlineStr">
        <is>
          <t>Other fruit</t>
        </is>
      </c>
    </row>
    <row r="776">
      <c r="A776" t="inlineStr">
        <is>
          <t>crop2</t>
        </is>
      </c>
      <c r="B776" t="inlineStr">
        <is>
          <t>8.1</t>
        </is>
      </c>
      <c r="C776" t="inlineStr">
        <is>
          <t>Coconuts</t>
        </is>
      </c>
    </row>
    <row r="777">
      <c r="A777" t="inlineStr">
        <is>
          <t>crop2</t>
        </is>
      </c>
      <c r="B777" t="inlineStr">
        <is>
          <t>8.2</t>
        </is>
      </c>
      <c r="C777" t="inlineStr">
        <is>
          <t>Groundnut/peanut</t>
        </is>
      </c>
    </row>
    <row r="778">
      <c r="A778" t="inlineStr">
        <is>
          <t>crop2</t>
        </is>
      </c>
      <c r="B778" t="inlineStr">
        <is>
          <t>8.3</t>
        </is>
      </c>
      <c r="C778" t="inlineStr">
        <is>
          <t>Cashew Nut</t>
        </is>
      </c>
    </row>
    <row r="779">
      <c r="A779" t="inlineStr">
        <is>
          <t>crop2</t>
        </is>
      </c>
      <c r="B779" t="inlineStr">
        <is>
          <t>8.4</t>
        </is>
      </c>
      <c r="C779" t="inlineStr">
        <is>
          <t>Kola Nut</t>
        </is>
      </c>
    </row>
    <row r="780">
      <c r="A780" t="inlineStr">
        <is>
          <t>crop2</t>
        </is>
      </c>
      <c r="B780" t="inlineStr">
        <is>
          <t>8.5</t>
        </is>
      </c>
      <c r="C780" t="inlineStr">
        <is>
          <t>Sesame</t>
        </is>
      </c>
    </row>
    <row r="781">
      <c r="A781" t="inlineStr">
        <is>
          <t>crop2</t>
        </is>
      </c>
      <c r="B781" t="inlineStr">
        <is>
          <t>8.6</t>
        </is>
      </c>
      <c r="C781" t="inlineStr">
        <is>
          <t>Bambara nut</t>
        </is>
      </c>
    </row>
    <row r="782">
      <c r="A782" t="inlineStr">
        <is>
          <t>crop2</t>
        </is>
      </c>
      <c r="B782" t="inlineStr">
        <is>
          <t>8.7</t>
        </is>
      </c>
      <c r="C782" t="inlineStr">
        <is>
          <t>Almond</t>
        </is>
      </c>
    </row>
    <row r="783">
      <c r="A783" t="inlineStr">
        <is>
          <t>crop2</t>
        </is>
      </c>
      <c r="B783" t="inlineStr">
        <is>
          <t>8.8</t>
        </is>
      </c>
      <c r="C783" t="inlineStr">
        <is>
          <t>Walnut</t>
        </is>
      </c>
    </row>
    <row r="784">
      <c r="A784" t="inlineStr">
        <is>
          <t>crop2</t>
        </is>
      </c>
      <c r="B784" t="inlineStr">
        <is>
          <t>8.99</t>
        </is>
      </c>
      <c r="C784" t="inlineStr">
        <is>
          <t>Other nuts</t>
        </is>
      </c>
    </row>
    <row r="785">
      <c r="A785" t="inlineStr">
        <is>
          <t>crop2</t>
        </is>
      </c>
      <c r="B785" t="inlineStr">
        <is>
          <t>9.1</t>
        </is>
      </c>
      <c r="C785" t="inlineStr">
        <is>
          <t>Cocoa</t>
        </is>
      </c>
    </row>
    <row r="786">
      <c r="A786" t="inlineStr">
        <is>
          <t>crop2</t>
        </is>
      </c>
      <c r="B786" t="inlineStr">
        <is>
          <t>9.2</t>
        </is>
      </c>
      <c r="C786" t="inlineStr">
        <is>
          <t>Coffee</t>
        </is>
      </c>
    </row>
    <row r="787">
      <c r="A787" t="inlineStr">
        <is>
          <t>crop2</t>
        </is>
      </c>
      <c r="B787" t="inlineStr">
        <is>
          <t>9.3</t>
        </is>
      </c>
      <c r="C787" t="inlineStr">
        <is>
          <t>Tea</t>
        </is>
      </c>
    </row>
    <row r="788">
      <c r="A788" t="inlineStr">
        <is>
          <t>crop2</t>
        </is>
      </c>
      <c r="B788" t="inlineStr">
        <is>
          <t>9.5</t>
        </is>
      </c>
      <c r="C788" t="inlineStr">
        <is>
          <t>Sunflower</t>
        </is>
      </c>
    </row>
    <row r="789">
      <c r="A789" t="inlineStr">
        <is>
          <t>crop2</t>
        </is>
      </c>
      <c r="B789" t="inlineStr">
        <is>
          <t>9.99</t>
        </is>
      </c>
      <c r="C789" t="inlineStr">
        <is>
          <t>Other food cash crop</t>
        </is>
      </c>
    </row>
    <row r="790">
      <c r="A790" t="inlineStr">
        <is>
          <t>crop2</t>
        </is>
      </c>
      <c r="B790" t="inlineStr">
        <is>
          <t>10.1</t>
        </is>
      </c>
      <c r="C790" t="inlineStr">
        <is>
          <t>Cotton</t>
        </is>
      </c>
    </row>
    <row r="791">
      <c r="A791" t="inlineStr">
        <is>
          <t>crop2</t>
        </is>
      </c>
      <c r="B791" t="inlineStr">
        <is>
          <t>10.2</t>
        </is>
      </c>
      <c r="C791" t="inlineStr">
        <is>
          <t>Rubber</t>
        </is>
      </c>
    </row>
    <row r="792">
      <c r="A792" t="inlineStr">
        <is>
          <t>crop2</t>
        </is>
      </c>
      <c r="B792" t="inlineStr">
        <is>
          <t>10.3</t>
        </is>
      </c>
      <c r="C792" t="inlineStr">
        <is>
          <t>Jute</t>
        </is>
      </c>
    </row>
    <row r="793">
      <c r="A793" t="inlineStr">
        <is>
          <t>crop2</t>
        </is>
      </c>
      <c r="B793" t="inlineStr">
        <is>
          <t>10.4</t>
        </is>
      </c>
      <c r="C793" t="inlineStr">
        <is>
          <t>Fodder</t>
        </is>
      </c>
    </row>
    <row r="794">
      <c r="A794" t="inlineStr">
        <is>
          <t>crop2</t>
        </is>
      </c>
      <c r="B794" t="inlineStr">
        <is>
          <t>10.5</t>
        </is>
      </c>
      <c r="C794" t="inlineStr">
        <is>
          <t>Tobacco</t>
        </is>
      </c>
    </row>
    <row r="795">
      <c r="A795" t="inlineStr">
        <is>
          <t>crop2</t>
        </is>
      </c>
      <c r="B795" t="inlineStr">
        <is>
          <t>10.6</t>
        </is>
      </c>
      <c r="C795" t="inlineStr">
        <is>
          <t>Qat</t>
        </is>
      </c>
    </row>
    <row r="796">
      <c r="A796" t="inlineStr">
        <is>
          <t>crop2</t>
        </is>
      </c>
      <c r="B796" t="inlineStr">
        <is>
          <t>10.99</t>
        </is>
      </c>
      <c r="C796" t="inlineStr">
        <is>
          <t>Other non-food cash crop</t>
        </is>
      </c>
    </row>
    <row r="797">
      <c r="A797" t="inlineStr">
        <is>
          <t>crop2</t>
        </is>
      </c>
      <c r="B797" t="inlineStr">
        <is>
          <t>666</t>
        </is>
      </c>
      <c r="C797" t="inlineStr">
        <is>
          <t>No other crop</t>
        </is>
      </c>
    </row>
    <row r="798">
      <c r="A798" t="inlineStr">
        <is>
          <t>crop2</t>
        </is>
      </c>
      <c r="B798" t="inlineStr">
        <is>
          <t>888</t>
        </is>
      </c>
      <c r="C798" t="inlineStr">
        <is>
          <t>Don't know</t>
        </is>
      </c>
    </row>
    <row r="799">
      <c r="A799" t="inlineStr">
        <is>
          <t>crop2</t>
        </is>
      </c>
      <c r="B799" t="inlineStr">
        <is>
          <t>999</t>
        </is>
      </c>
      <c r="C799" t="inlineStr">
        <is>
          <t>Refused</t>
        </is>
      </c>
    </row>
    <row r="800"/>
    <row r="801">
      <c r="A801" t="inlineStr">
        <is>
          <t>crop3</t>
        </is>
      </c>
      <c r="B801" t="inlineStr">
        <is>
          <t>1.1</t>
        </is>
      </c>
      <c r="C801" t="inlineStr">
        <is>
          <t>Rice</t>
        </is>
      </c>
    </row>
    <row r="802">
      <c r="A802" t="inlineStr">
        <is>
          <t>crop3</t>
        </is>
      </c>
      <c r="B802" t="inlineStr">
        <is>
          <t>1.2</t>
        </is>
      </c>
      <c r="C802" t="inlineStr">
        <is>
          <t>Wheat</t>
        </is>
      </c>
    </row>
    <row r="803">
      <c r="A803" t="inlineStr">
        <is>
          <t>crop3</t>
        </is>
      </c>
      <c r="B803" t="inlineStr">
        <is>
          <t>1.5</t>
        </is>
      </c>
      <c r="C803" t="inlineStr">
        <is>
          <t>Maize</t>
        </is>
      </c>
    </row>
    <row r="804">
      <c r="A804" t="inlineStr">
        <is>
          <t>crop3</t>
        </is>
      </c>
      <c r="B804" t="inlineStr">
        <is>
          <t>1.6</t>
        </is>
      </c>
      <c r="C804" t="inlineStr">
        <is>
          <t>Barley</t>
        </is>
      </c>
    </row>
    <row r="805">
      <c r="A805" t="inlineStr">
        <is>
          <t>crop3</t>
        </is>
      </c>
      <c r="B805" t="inlineStr">
        <is>
          <t>2.2</t>
        </is>
      </c>
      <c r="C805" t="inlineStr">
        <is>
          <t>Potatoe</t>
        </is>
      </c>
    </row>
    <row r="806">
      <c r="A806" t="inlineStr">
        <is>
          <t>crop3</t>
        </is>
      </c>
      <c r="B806" t="inlineStr">
        <is>
          <t>3.1</t>
        </is>
      </c>
      <c r="C806" t="inlineStr">
        <is>
          <t>Beans</t>
        </is>
      </c>
    </row>
    <row r="807">
      <c r="A807" t="inlineStr">
        <is>
          <t>crop3</t>
        </is>
      </c>
      <c r="B807" t="inlineStr">
        <is>
          <t>5.1</t>
        </is>
      </c>
      <c r="C807" t="inlineStr">
        <is>
          <t>Tomatoes</t>
        </is>
      </c>
    </row>
    <row r="808">
      <c r="A808" t="inlineStr">
        <is>
          <t>crop3</t>
        </is>
      </c>
      <c r="B808" t="inlineStr">
        <is>
          <t>7.18</t>
        </is>
      </c>
      <c r="C808" t="inlineStr">
        <is>
          <t>Melon (Cantaloupe)</t>
        </is>
      </c>
    </row>
    <row r="809">
      <c r="A809" t="inlineStr">
        <is>
          <t>crop3</t>
        </is>
      </c>
      <c r="B809" t="inlineStr">
        <is>
          <t>7.8</t>
        </is>
      </c>
      <c r="C809" t="inlineStr">
        <is>
          <t>Water Melon</t>
        </is>
      </c>
    </row>
    <row r="810">
      <c r="A810" t="inlineStr">
        <is>
          <t>crop3</t>
        </is>
      </c>
      <c r="B810" t="inlineStr">
        <is>
          <t>9.4</t>
        </is>
      </c>
      <c r="C810" t="inlineStr">
        <is>
          <t>Sugarcane</t>
        </is>
      </c>
    </row>
    <row r="811">
      <c r="A811" t="inlineStr">
        <is>
          <t>crop3</t>
        </is>
      </c>
      <c r="B811" t="inlineStr">
        <is>
          <t>1.3</t>
        </is>
      </c>
      <c r="C811" t="inlineStr">
        <is>
          <t>Millet</t>
        </is>
      </c>
    </row>
    <row r="812">
      <c r="A812" t="inlineStr">
        <is>
          <t>crop3</t>
        </is>
      </c>
      <c r="B812" t="inlineStr">
        <is>
          <t>1.4</t>
        </is>
      </c>
      <c r="C812" t="inlineStr">
        <is>
          <t>Sorghum</t>
        </is>
      </c>
    </row>
    <row r="813">
      <c r="A813" t="inlineStr">
        <is>
          <t>crop3</t>
        </is>
      </c>
      <c r="B813" t="inlineStr">
        <is>
          <t>1.99</t>
        </is>
      </c>
      <c r="C813" t="inlineStr">
        <is>
          <t>Other Cereal</t>
        </is>
      </c>
    </row>
    <row r="814">
      <c r="A814" t="inlineStr">
        <is>
          <t>crop3</t>
        </is>
      </c>
      <c r="B814" t="inlineStr">
        <is>
          <t>2.1</t>
        </is>
      </c>
      <c r="C814" t="inlineStr">
        <is>
          <t>Cassava</t>
        </is>
      </c>
    </row>
    <row r="815">
      <c r="A815" t="inlineStr">
        <is>
          <t>crop3</t>
        </is>
      </c>
      <c r="B815" t="inlineStr">
        <is>
          <t>2.3</t>
        </is>
      </c>
      <c r="C815" t="inlineStr">
        <is>
          <t>Sweet Potatoes</t>
        </is>
      </c>
    </row>
    <row r="816">
      <c r="A816" t="inlineStr">
        <is>
          <t>crop3</t>
        </is>
      </c>
      <c r="B816" t="inlineStr">
        <is>
          <t>2.4</t>
        </is>
      </c>
      <c r="C816" t="inlineStr">
        <is>
          <t>Yams</t>
        </is>
      </c>
    </row>
    <row r="817">
      <c r="A817" t="inlineStr">
        <is>
          <t>crop3</t>
        </is>
      </c>
      <c r="B817" t="inlineStr">
        <is>
          <t>2.5</t>
        </is>
      </c>
      <c r="C817" t="inlineStr">
        <is>
          <t>Carrots</t>
        </is>
      </c>
    </row>
    <row r="818">
      <c r="A818" t="inlineStr">
        <is>
          <t>crop3</t>
        </is>
      </c>
      <c r="B818" t="inlineStr">
        <is>
          <t>2.6</t>
        </is>
      </c>
      <c r="C818" t="inlineStr">
        <is>
          <t>Cocoyam</t>
        </is>
      </c>
    </row>
    <row r="819">
      <c r="A819" t="inlineStr">
        <is>
          <t>crop3</t>
        </is>
      </c>
      <c r="B819" t="inlineStr">
        <is>
          <t>2.99</t>
        </is>
      </c>
      <c r="C819" t="inlineStr">
        <is>
          <t>Other tubers</t>
        </is>
      </c>
    </row>
    <row r="820">
      <c r="A820" t="inlineStr">
        <is>
          <t>crop3</t>
        </is>
      </c>
      <c r="B820" t="inlineStr">
        <is>
          <t>3.2</t>
        </is>
      </c>
      <c r="C820" t="inlineStr">
        <is>
          <t>Lentils</t>
        </is>
      </c>
    </row>
    <row r="821">
      <c r="A821" t="inlineStr">
        <is>
          <t>crop3</t>
        </is>
      </c>
      <c r="B821" t="inlineStr">
        <is>
          <t>3.3</t>
        </is>
      </c>
      <c r="C821" t="inlineStr">
        <is>
          <t>Peas</t>
        </is>
      </c>
    </row>
    <row r="822">
      <c r="A822" t="inlineStr">
        <is>
          <t>crop3</t>
        </is>
      </c>
      <c r="B822" t="inlineStr">
        <is>
          <t>3.4</t>
        </is>
      </c>
      <c r="C822" t="inlineStr">
        <is>
          <t>Soybeans</t>
        </is>
      </c>
    </row>
    <row r="823">
      <c r="A823" t="inlineStr">
        <is>
          <t>crop3</t>
        </is>
      </c>
      <c r="B823" t="inlineStr">
        <is>
          <t>3.5</t>
        </is>
      </c>
      <c r="C823" t="inlineStr">
        <is>
          <t>Chickpeas</t>
        </is>
      </c>
    </row>
    <row r="824">
      <c r="A824" t="inlineStr">
        <is>
          <t>crop3</t>
        </is>
      </c>
      <c r="B824" t="inlineStr">
        <is>
          <t>3.6</t>
        </is>
      </c>
      <c r="C824" t="inlineStr">
        <is>
          <t>Fava beans</t>
        </is>
      </c>
    </row>
    <row r="825">
      <c r="A825" t="inlineStr">
        <is>
          <t>crop3</t>
        </is>
      </c>
      <c r="B825" t="inlineStr">
        <is>
          <t>3.7</t>
        </is>
      </c>
      <c r="C825" t="inlineStr">
        <is>
          <t>Broad beans</t>
        </is>
      </c>
    </row>
    <row r="826">
      <c r="A826" t="inlineStr">
        <is>
          <t>crop3</t>
        </is>
      </c>
      <c r="B826" t="inlineStr">
        <is>
          <t>3.99</t>
        </is>
      </c>
      <c r="C826" t="inlineStr">
        <is>
          <t>Other pulses</t>
        </is>
      </c>
    </row>
    <row r="827">
      <c r="A827" t="inlineStr">
        <is>
          <t>crop3</t>
        </is>
      </c>
      <c r="B827" t="inlineStr">
        <is>
          <t>4.1</t>
        </is>
      </c>
      <c r="C827" t="inlineStr">
        <is>
          <t>Cabbage</t>
        </is>
      </c>
    </row>
    <row r="828">
      <c r="A828" t="inlineStr">
        <is>
          <t>crop3</t>
        </is>
      </c>
      <c r="B828" t="inlineStr">
        <is>
          <t>4.101</t>
        </is>
      </c>
      <c r="C828" t="inlineStr">
        <is>
          <t>Cauliflower</t>
        </is>
      </c>
    </row>
    <row r="829">
      <c r="A829" t="inlineStr">
        <is>
          <t>crop3</t>
        </is>
      </c>
      <c r="B829" t="inlineStr">
        <is>
          <t>4.2</t>
        </is>
      </c>
      <c r="C829" t="inlineStr">
        <is>
          <t>Lettuce</t>
        </is>
      </c>
    </row>
    <row r="830">
      <c r="A830" t="inlineStr">
        <is>
          <t>crop3</t>
        </is>
      </c>
      <c r="B830" t="inlineStr">
        <is>
          <t>4.3</t>
        </is>
      </c>
      <c r="C830" t="inlineStr">
        <is>
          <t>Spinach-Amaranth</t>
        </is>
      </c>
    </row>
    <row r="831">
      <c r="A831" t="inlineStr">
        <is>
          <t>crop3</t>
        </is>
      </c>
      <c r="B831" t="inlineStr">
        <is>
          <t>4.4</t>
        </is>
      </c>
      <c r="C831" t="inlineStr">
        <is>
          <t>Cassava leaves</t>
        </is>
      </c>
    </row>
    <row r="832">
      <c r="A832" t="inlineStr">
        <is>
          <t>crop3</t>
        </is>
      </c>
      <c r="B832" t="inlineStr">
        <is>
          <t>4.5</t>
        </is>
      </c>
      <c r="C832" t="inlineStr">
        <is>
          <t>Potatoe leaves</t>
        </is>
      </c>
    </row>
    <row r="833">
      <c r="A833" t="inlineStr">
        <is>
          <t>crop3</t>
        </is>
      </c>
      <c r="B833" t="inlineStr">
        <is>
          <t>4.6</t>
        </is>
      </c>
      <c r="C833" t="inlineStr">
        <is>
          <t>Moringa</t>
        </is>
      </c>
    </row>
    <row r="834">
      <c r="A834" t="inlineStr">
        <is>
          <t>crop3</t>
        </is>
      </c>
      <c r="B834" t="inlineStr">
        <is>
          <t>4.7</t>
        </is>
      </c>
      <c r="C834" t="inlineStr">
        <is>
          <t>Sorrel Hibiscus / Rosselle</t>
        </is>
      </c>
    </row>
    <row r="835">
      <c r="A835" t="inlineStr">
        <is>
          <t>crop3</t>
        </is>
      </c>
      <c r="B835" t="inlineStr">
        <is>
          <t>4.9</t>
        </is>
      </c>
      <c r="C835" t="inlineStr">
        <is>
          <t>Green salad herbs (thyme, parsley, mint, rocca, other)</t>
        </is>
      </c>
    </row>
    <row r="836">
      <c r="A836" t="inlineStr">
        <is>
          <t>crop3</t>
        </is>
      </c>
      <c r="B836" t="inlineStr">
        <is>
          <t>4.99</t>
        </is>
      </c>
      <c r="C836" t="inlineStr">
        <is>
          <t>Other leafy vegetables</t>
        </is>
      </c>
    </row>
    <row r="837">
      <c r="A837" t="inlineStr">
        <is>
          <t>crop3</t>
        </is>
      </c>
      <c r="B837" t="inlineStr">
        <is>
          <t>5.101</t>
        </is>
      </c>
      <c r="C837" t="inlineStr">
        <is>
          <t>Green peas</t>
        </is>
      </c>
    </row>
    <row r="838">
      <c r="A838" t="inlineStr">
        <is>
          <t>crop3</t>
        </is>
      </c>
      <c r="B838" t="inlineStr">
        <is>
          <t>5.11</t>
        </is>
      </c>
      <c r="C838" t="inlineStr">
        <is>
          <t>Fava beans green</t>
        </is>
      </c>
    </row>
    <row r="839">
      <c r="A839" t="inlineStr">
        <is>
          <t>crop3</t>
        </is>
      </c>
      <c r="B839" t="inlineStr">
        <is>
          <t>5.2</t>
        </is>
      </c>
      <c r="C839" t="inlineStr">
        <is>
          <t>Cucumber</t>
        </is>
      </c>
    </row>
    <row r="840">
      <c r="A840" t="inlineStr">
        <is>
          <t>crop3</t>
        </is>
      </c>
      <c r="B840" t="inlineStr">
        <is>
          <t>5.3</t>
        </is>
      </c>
      <c r="C840" t="inlineStr">
        <is>
          <t>Pumpkin</t>
        </is>
      </c>
    </row>
    <row r="841">
      <c r="A841" t="inlineStr">
        <is>
          <t>crop3</t>
        </is>
      </c>
      <c r="B841" t="inlineStr">
        <is>
          <t>5.4</t>
        </is>
      </c>
      <c r="C841" t="inlineStr">
        <is>
          <t>Eggplant/aubergine</t>
        </is>
      </c>
    </row>
    <row r="842">
      <c r="A842" t="inlineStr">
        <is>
          <t>crop3</t>
        </is>
      </c>
      <c r="B842" t="inlineStr">
        <is>
          <t>5.5</t>
        </is>
      </c>
      <c r="C842" t="inlineStr">
        <is>
          <t>Zucchini</t>
        </is>
      </c>
    </row>
    <row r="843">
      <c r="A843" t="inlineStr">
        <is>
          <t>crop3</t>
        </is>
      </c>
      <c r="B843" t="inlineStr">
        <is>
          <t>5.6</t>
        </is>
      </c>
      <c r="C843" t="inlineStr">
        <is>
          <t>Okra</t>
        </is>
      </c>
    </row>
    <row r="844">
      <c r="A844" t="inlineStr">
        <is>
          <t>crop3</t>
        </is>
      </c>
      <c r="B844" t="inlineStr">
        <is>
          <t>5.7</t>
        </is>
      </c>
      <c r="C844" t="inlineStr">
        <is>
          <t>Bell pepper</t>
        </is>
      </c>
    </row>
    <row r="845">
      <c r="A845" t="inlineStr">
        <is>
          <t>crop3</t>
        </is>
      </c>
      <c r="B845" t="inlineStr">
        <is>
          <t>5.8</t>
        </is>
      </c>
      <c r="C845" t="inlineStr">
        <is>
          <t>Onions</t>
        </is>
      </c>
    </row>
    <row r="846">
      <c r="A846" t="inlineStr">
        <is>
          <t>crop3</t>
        </is>
      </c>
      <c r="B846" t="inlineStr">
        <is>
          <t>5.9</t>
        </is>
      </c>
      <c r="C846" t="inlineStr">
        <is>
          <t>Haricot</t>
        </is>
      </c>
    </row>
    <row r="847">
      <c r="A847" t="inlineStr">
        <is>
          <t>crop3</t>
        </is>
      </c>
      <c r="B847" t="inlineStr">
        <is>
          <t>5.99</t>
        </is>
      </c>
      <c r="C847" t="inlineStr">
        <is>
          <t>Other non leafy vegs</t>
        </is>
      </c>
    </row>
    <row r="848">
      <c r="A848" t="inlineStr">
        <is>
          <t>crop3</t>
        </is>
      </c>
      <c r="B848" t="inlineStr">
        <is>
          <t>6.1</t>
        </is>
      </c>
      <c r="C848" t="inlineStr">
        <is>
          <t>Orange</t>
        </is>
      </c>
    </row>
    <row r="849">
      <c r="A849" t="inlineStr">
        <is>
          <t>crop3</t>
        </is>
      </c>
      <c r="B849" t="inlineStr">
        <is>
          <t>6.2</t>
        </is>
      </c>
      <c r="C849" t="inlineStr">
        <is>
          <t>Lemon</t>
        </is>
      </c>
    </row>
    <row r="850">
      <c r="A850" t="inlineStr">
        <is>
          <t>crop3</t>
        </is>
      </c>
      <c r="B850" t="inlineStr">
        <is>
          <t>6.3</t>
        </is>
      </c>
      <c r="C850" t="inlineStr">
        <is>
          <t>Grapefruit</t>
        </is>
      </c>
    </row>
    <row r="851">
      <c r="A851" t="inlineStr">
        <is>
          <t>crop3</t>
        </is>
      </c>
      <c r="B851" t="inlineStr">
        <is>
          <t>6.4</t>
        </is>
      </c>
      <c r="C851" t="inlineStr">
        <is>
          <t>Mandarins/clementines</t>
        </is>
      </c>
    </row>
    <row r="852">
      <c r="A852" t="inlineStr">
        <is>
          <t>crop3</t>
        </is>
      </c>
      <c r="B852" t="inlineStr">
        <is>
          <t>6.99</t>
        </is>
      </c>
      <c r="C852" t="inlineStr">
        <is>
          <t>Other citrus fruit</t>
        </is>
      </c>
    </row>
    <row r="853">
      <c r="A853" t="inlineStr">
        <is>
          <t>crop3</t>
        </is>
      </c>
      <c r="B853" t="inlineStr">
        <is>
          <t>7.1</t>
        </is>
      </c>
      <c r="C853" t="inlineStr">
        <is>
          <t>Sweet Banana</t>
        </is>
      </c>
    </row>
    <row r="854">
      <c r="A854" t="inlineStr">
        <is>
          <t>crop3</t>
        </is>
      </c>
      <c r="B854" t="inlineStr">
        <is>
          <t>7.101</t>
        </is>
      </c>
      <c r="C854" t="inlineStr">
        <is>
          <t>Figs</t>
        </is>
      </c>
    </row>
    <row r="855">
      <c r="A855" t="inlineStr">
        <is>
          <t>crop3</t>
        </is>
      </c>
      <c r="B855" t="inlineStr">
        <is>
          <t>7.11</t>
        </is>
      </c>
      <c r="C855" t="inlineStr">
        <is>
          <t>Grapes</t>
        </is>
      </c>
    </row>
    <row r="856">
      <c r="A856" t="inlineStr">
        <is>
          <t>crop3</t>
        </is>
      </c>
      <c r="B856" t="inlineStr">
        <is>
          <t>7.12</t>
        </is>
      </c>
      <c r="C856" t="inlineStr">
        <is>
          <t>Olives</t>
        </is>
      </c>
    </row>
    <row r="857">
      <c r="A857" t="inlineStr">
        <is>
          <t>crop3</t>
        </is>
      </c>
      <c r="B857" t="inlineStr">
        <is>
          <t>7.13</t>
        </is>
      </c>
      <c r="C857" t="inlineStr">
        <is>
          <t>Apple</t>
        </is>
      </c>
    </row>
    <row r="858">
      <c r="A858" t="inlineStr">
        <is>
          <t>crop3</t>
        </is>
      </c>
      <c r="B858" t="inlineStr">
        <is>
          <t>7.14</t>
        </is>
      </c>
      <c r="C858" t="inlineStr">
        <is>
          <t>Apricot</t>
        </is>
      </c>
    </row>
    <row r="859">
      <c r="A859" t="inlineStr">
        <is>
          <t>crop3</t>
        </is>
      </c>
      <c r="B859" t="inlineStr">
        <is>
          <t>7.15</t>
        </is>
      </c>
      <c r="C859" t="inlineStr">
        <is>
          <t>Cherries</t>
        </is>
      </c>
    </row>
    <row r="860">
      <c r="A860" t="inlineStr">
        <is>
          <t>crop3</t>
        </is>
      </c>
      <c r="B860" t="inlineStr">
        <is>
          <t>7.16</t>
        </is>
      </c>
      <c r="C860" t="inlineStr">
        <is>
          <t>Peach/nectarine</t>
        </is>
      </c>
    </row>
    <row r="861">
      <c r="A861" t="inlineStr">
        <is>
          <t>crop3</t>
        </is>
      </c>
      <c r="B861" t="inlineStr">
        <is>
          <t>7.17</t>
        </is>
      </c>
      <c r="C861" t="inlineStr">
        <is>
          <t>Strawberries</t>
        </is>
      </c>
    </row>
    <row r="862">
      <c r="A862" t="inlineStr">
        <is>
          <t>crop3</t>
        </is>
      </c>
      <c r="B862" t="inlineStr">
        <is>
          <t>7.2</t>
        </is>
      </c>
      <c r="C862" t="inlineStr">
        <is>
          <t>Plantains</t>
        </is>
      </c>
    </row>
    <row r="863">
      <c r="A863" t="inlineStr">
        <is>
          <t>crop3</t>
        </is>
      </c>
      <c r="B863" t="inlineStr">
        <is>
          <t>7.3</t>
        </is>
      </c>
      <c r="C863" t="inlineStr">
        <is>
          <t>Papaya</t>
        </is>
      </c>
    </row>
    <row r="864">
      <c r="A864" t="inlineStr">
        <is>
          <t>crop3</t>
        </is>
      </c>
      <c r="B864" t="inlineStr">
        <is>
          <t>7.4</t>
        </is>
      </c>
      <c r="C864" t="inlineStr">
        <is>
          <t>Mango</t>
        </is>
      </c>
    </row>
    <row r="865">
      <c r="A865" t="inlineStr">
        <is>
          <t>crop3</t>
        </is>
      </c>
      <c r="B865" t="inlineStr">
        <is>
          <t>7.5</t>
        </is>
      </c>
      <c r="C865" t="inlineStr">
        <is>
          <t>Guava</t>
        </is>
      </c>
    </row>
    <row r="866">
      <c r="A866" t="inlineStr">
        <is>
          <t>crop3</t>
        </is>
      </c>
      <c r="B866" t="inlineStr">
        <is>
          <t>7.6</t>
        </is>
      </c>
      <c r="C866" t="inlineStr">
        <is>
          <t>Pineapple</t>
        </is>
      </c>
    </row>
    <row r="867">
      <c r="A867" t="inlineStr">
        <is>
          <t>crop3</t>
        </is>
      </c>
      <c r="B867" t="inlineStr">
        <is>
          <t>7.7</t>
        </is>
      </c>
      <c r="C867" t="inlineStr">
        <is>
          <t>Avocado</t>
        </is>
      </c>
    </row>
    <row r="868">
      <c r="A868" t="inlineStr">
        <is>
          <t>crop3</t>
        </is>
      </c>
      <c r="B868" t="inlineStr">
        <is>
          <t>7.9</t>
        </is>
      </c>
      <c r="C868" t="inlineStr">
        <is>
          <t>Dates</t>
        </is>
      </c>
    </row>
    <row r="869">
      <c r="A869" t="inlineStr">
        <is>
          <t>crop3</t>
        </is>
      </c>
      <c r="B869" t="inlineStr">
        <is>
          <t>7.99</t>
        </is>
      </c>
      <c r="C869" t="inlineStr">
        <is>
          <t>Other fruit</t>
        </is>
      </c>
    </row>
    <row r="870">
      <c r="A870" t="inlineStr">
        <is>
          <t>crop3</t>
        </is>
      </c>
      <c r="B870" t="inlineStr">
        <is>
          <t>8.1</t>
        </is>
      </c>
      <c r="C870" t="inlineStr">
        <is>
          <t>Coconuts</t>
        </is>
      </c>
    </row>
    <row r="871">
      <c r="A871" t="inlineStr">
        <is>
          <t>crop3</t>
        </is>
      </c>
      <c r="B871" t="inlineStr">
        <is>
          <t>8.2</t>
        </is>
      </c>
      <c r="C871" t="inlineStr">
        <is>
          <t>Groundnut/peanut</t>
        </is>
      </c>
    </row>
    <row r="872">
      <c r="A872" t="inlineStr">
        <is>
          <t>crop3</t>
        </is>
      </c>
      <c r="B872" t="inlineStr">
        <is>
          <t>8.3</t>
        </is>
      </c>
      <c r="C872" t="inlineStr">
        <is>
          <t>Cashew Nut</t>
        </is>
      </c>
    </row>
    <row r="873">
      <c r="A873" t="inlineStr">
        <is>
          <t>crop3</t>
        </is>
      </c>
      <c r="B873" t="inlineStr">
        <is>
          <t>8.4</t>
        </is>
      </c>
      <c r="C873" t="inlineStr">
        <is>
          <t>Kola Nut</t>
        </is>
      </c>
    </row>
    <row r="874">
      <c r="A874" t="inlineStr">
        <is>
          <t>crop3</t>
        </is>
      </c>
      <c r="B874" t="inlineStr">
        <is>
          <t>8.5</t>
        </is>
      </c>
      <c r="C874" t="inlineStr">
        <is>
          <t>Sesame</t>
        </is>
      </c>
    </row>
    <row r="875">
      <c r="A875" t="inlineStr">
        <is>
          <t>crop3</t>
        </is>
      </c>
      <c r="B875" t="inlineStr">
        <is>
          <t>8.6</t>
        </is>
      </c>
      <c r="C875" t="inlineStr">
        <is>
          <t>Bambara nut</t>
        </is>
      </c>
    </row>
    <row r="876">
      <c r="A876" t="inlineStr">
        <is>
          <t>crop3</t>
        </is>
      </c>
      <c r="B876" t="inlineStr">
        <is>
          <t>8.7</t>
        </is>
      </c>
      <c r="C876" t="inlineStr">
        <is>
          <t>Almond</t>
        </is>
      </c>
    </row>
    <row r="877">
      <c r="A877" t="inlineStr">
        <is>
          <t>crop3</t>
        </is>
      </c>
      <c r="B877" t="inlineStr">
        <is>
          <t>8.8</t>
        </is>
      </c>
      <c r="C877" t="inlineStr">
        <is>
          <t>Walnut</t>
        </is>
      </c>
    </row>
    <row r="878">
      <c r="A878" t="inlineStr">
        <is>
          <t>crop3</t>
        </is>
      </c>
      <c r="B878" t="inlineStr">
        <is>
          <t>8.99</t>
        </is>
      </c>
      <c r="C878" t="inlineStr">
        <is>
          <t>Other nuts</t>
        </is>
      </c>
    </row>
    <row r="879">
      <c r="A879" t="inlineStr">
        <is>
          <t>crop3</t>
        </is>
      </c>
      <c r="B879" t="inlineStr">
        <is>
          <t>9.1</t>
        </is>
      </c>
      <c r="C879" t="inlineStr">
        <is>
          <t>Cocoa</t>
        </is>
      </c>
    </row>
    <row r="880">
      <c r="A880" t="inlineStr">
        <is>
          <t>crop3</t>
        </is>
      </c>
      <c r="B880" t="inlineStr">
        <is>
          <t>9.2</t>
        </is>
      </c>
      <c r="C880" t="inlineStr">
        <is>
          <t>Coffee</t>
        </is>
      </c>
    </row>
    <row r="881">
      <c r="A881" t="inlineStr">
        <is>
          <t>crop3</t>
        </is>
      </c>
      <c r="B881" t="inlineStr">
        <is>
          <t>9.3</t>
        </is>
      </c>
      <c r="C881" t="inlineStr">
        <is>
          <t>Tea</t>
        </is>
      </c>
    </row>
    <row r="882">
      <c r="A882" t="inlineStr">
        <is>
          <t>crop3</t>
        </is>
      </c>
      <c r="B882" t="inlineStr">
        <is>
          <t>9.5</t>
        </is>
      </c>
      <c r="C882" t="inlineStr">
        <is>
          <t>Sunflower</t>
        </is>
      </c>
    </row>
    <row r="883">
      <c r="A883" t="inlineStr">
        <is>
          <t>crop3</t>
        </is>
      </c>
      <c r="B883" t="inlineStr">
        <is>
          <t>9.99</t>
        </is>
      </c>
      <c r="C883" t="inlineStr">
        <is>
          <t>Other food cash crop</t>
        </is>
      </c>
    </row>
    <row r="884">
      <c r="A884" t="inlineStr">
        <is>
          <t>crop3</t>
        </is>
      </c>
      <c r="B884" t="inlineStr">
        <is>
          <t>10.1</t>
        </is>
      </c>
      <c r="C884" t="inlineStr">
        <is>
          <t>Cotton</t>
        </is>
      </c>
    </row>
    <row r="885">
      <c r="A885" t="inlineStr">
        <is>
          <t>crop3</t>
        </is>
      </c>
      <c r="B885" t="inlineStr">
        <is>
          <t>10.2</t>
        </is>
      </c>
      <c r="C885" t="inlineStr">
        <is>
          <t>Rubber</t>
        </is>
      </c>
    </row>
    <row r="886">
      <c r="A886" t="inlineStr">
        <is>
          <t>crop3</t>
        </is>
      </c>
      <c r="B886" t="inlineStr">
        <is>
          <t>10.3</t>
        </is>
      </c>
      <c r="C886" t="inlineStr">
        <is>
          <t>Jute</t>
        </is>
      </c>
    </row>
    <row r="887">
      <c r="A887" t="inlineStr">
        <is>
          <t>crop3</t>
        </is>
      </c>
      <c r="B887" t="inlineStr">
        <is>
          <t>10.4</t>
        </is>
      </c>
      <c r="C887" t="inlineStr">
        <is>
          <t>Fodder</t>
        </is>
      </c>
    </row>
    <row r="888">
      <c r="A888" t="inlineStr">
        <is>
          <t>crop3</t>
        </is>
      </c>
      <c r="B888" t="inlineStr">
        <is>
          <t>10.5</t>
        </is>
      </c>
      <c r="C888" t="inlineStr">
        <is>
          <t>Tobacco</t>
        </is>
      </c>
    </row>
    <row r="889">
      <c r="A889" t="inlineStr">
        <is>
          <t>crop3</t>
        </is>
      </c>
      <c r="B889" t="inlineStr">
        <is>
          <t>10.6</t>
        </is>
      </c>
      <c r="C889" t="inlineStr">
        <is>
          <t>Qat</t>
        </is>
      </c>
    </row>
    <row r="890">
      <c r="A890" t="inlineStr">
        <is>
          <t>crop3</t>
        </is>
      </c>
      <c r="B890" t="inlineStr">
        <is>
          <t>10.99</t>
        </is>
      </c>
      <c r="C890" t="inlineStr">
        <is>
          <t>Other non-food cash crop</t>
        </is>
      </c>
    </row>
    <row r="891">
      <c r="A891" t="inlineStr">
        <is>
          <t>crop3</t>
        </is>
      </c>
      <c r="B891" t="inlineStr">
        <is>
          <t>888</t>
        </is>
      </c>
      <c r="C891" t="inlineStr">
        <is>
          <t>Don't know</t>
        </is>
      </c>
    </row>
    <row r="892">
      <c r="A892" t="inlineStr">
        <is>
          <t>crop3</t>
        </is>
      </c>
      <c r="B892" t="inlineStr">
        <is>
          <t>999</t>
        </is>
      </c>
      <c r="C892" t="inlineStr">
        <is>
          <t>Refused</t>
        </is>
      </c>
    </row>
    <row r="893"/>
    <row r="894">
      <c r="A894" t="inlineStr">
        <is>
          <t>Province</t>
        </is>
      </c>
      <c r="B894" t="inlineStr">
        <is>
          <t>AF01</t>
        </is>
      </c>
      <c r="C894" t="inlineStr">
        <is>
          <t>Kabul</t>
        </is>
      </c>
    </row>
    <row r="895">
      <c r="A895" t="inlineStr">
        <is>
          <t>Province</t>
        </is>
      </c>
      <c r="B895" t="inlineStr">
        <is>
          <t>AF02</t>
        </is>
      </c>
      <c r="C895" t="inlineStr">
        <is>
          <t>Kapisa</t>
        </is>
      </c>
    </row>
    <row r="896">
      <c r="A896" t="inlineStr">
        <is>
          <t>Province</t>
        </is>
      </c>
      <c r="B896" t="inlineStr">
        <is>
          <t>AF03</t>
        </is>
      </c>
      <c r="C896" t="inlineStr">
        <is>
          <t>Parwan</t>
        </is>
      </c>
    </row>
    <row r="897">
      <c r="A897" t="inlineStr">
        <is>
          <t>Province</t>
        </is>
      </c>
      <c r="B897" t="inlineStr">
        <is>
          <t>AF04</t>
        </is>
      </c>
      <c r="C897" t="inlineStr">
        <is>
          <t>Maidan Wardak</t>
        </is>
      </c>
    </row>
    <row r="898">
      <c r="A898" t="inlineStr">
        <is>
          <t>Province</t>
        </is>
      </c>
      <c r="B898" t="inlineStr">
        <is>
          <t>AF05</t>
        </is>
      </c>
      <c r="C898" t="inlineStr">
        <is>
          <t>Logar</t>
        </is>
      </c>
    </row>
    <row r="899">
      <c r="A899" t="inlineStr">
        <is>
          <t>Province</t>
        </is>
      </c>
      <c r="B899" t="inlineStr">
        <is>
          <t>AF06</t>
        </is>
      </c>
      <c r="C899" t="inlineStr">
        <is>
          <t>Nangarhar</t>
        </is>
      </c>
    </row>
    <row r="900">
      <c r="A900" t="inlineStr">
        <is>
          <t>Province</t>
        </is>
      </c>
      <c r="B900" t="inlineStr">
        <is>
          <t>AF07</t>
        </is>
      </c>
      <c r="C900" t="inlineStr">
        <is>
          <t>Laghman</t>
        </is>
      </c>
    </row>
    <row r="901">
      <c r="A901" t="inlineStr">
        <is>
          <t>Province</t>
        </is>
      </c>
      <c r="B901" t="inlineStr">
        <is>
          <t>AF08</t>
        </is>
      </c>
      <c r="C901" t="inlineStr">
        <is>
          <t>Panjsher</t>
        </is>
      </c>
    </row>
    <row r="902">
      <c r="A902" t="inlineStr">
        <is>
          <t>Province</t>
        </is>
      </c>
      <c r="B902" t="inlineStr">
        <is>
          <t>AF09</t>
        </is>
      </c>
      <c r="C902" t="inlineStr">
        <is>
          <t>Baghlan</t>
        </is>
      </c>
    </row>
    <row r="903">
      <c r="A903" t="inlineStr">
        <is>
          <t>Province</t>
        </is>
      </c>
      <c r="B903" t="inlineStr">
        <is>
          <t>AF10</t>
        </is>
      </c>
      <c r="C903" t="inlineStr">
        <is>
          <t>Bamyan</t>
        </is>
      </c>
    </row>
    <row r="904">
      <c r="A904" t="inlineStr">
        <is>
          <t>Province</t>
        </is>
      </c>
      <c r="B904" t="inlineStr">
        <is>
          <t>AF11</t>
        </is>
      </c>
      <c r="C904" t="inlineStr">
        <is>
          <t>Ghazni</t>
        </is>
      </c>
    </row>
    <row r="905">
      <c r="A905" t="inlineStr">
        <is>
          <t>Province</t>
        </is>
      </c>
      <c r="B905" t="inlineStr">
        <is>
          <t>AF12</t>
        </is>
      </c>
      <c r="C905" t="inlineStr">
        <is>
          <t>Paktika</t>
        </is>
      </c>
    </row>
    <row r="906">
      <c r="A906" t="inlineStr">
        <is>
          <t>Province</t>
        </is>
      </c>
      <c r="B906" t="inlineStr">
        <is>
          <t>AF13</t>
        </is>
      </c>
      <c r="C906" t="inlineStr">
        <is>
          <t>Paktya</t>
        </is>
      </c>
    </row>
    <row r="907">
      <c r="A907" t="inlineStr">
        <is>
          <t>Province</t>
        </is>
      </c>
      <c r="B907" t="inlineStr">
        <is>
          <t>AF14</t>
        </is>
      </c>
      <c r="C907" t="inlineStr">
        <is>
          <t>Khost</t>
        </is>
      </c>
    </row>
    <row r="908">
      <c r="A908" t="inlineStr">
        <is>
          <t>Province</t>
        </is>
      </c>
      <c r="B908" t="inlineStr">
        <is>
          <t>AF15</t>
        </is>
      </c>
      <c r="C908" t="inlineStr">
        <is>
          <t>Kunar</t>
        </is>
      </c>
    </row>
    <row r="909">
      <c r="A909" t="inlineStr">
        <is>
          <t>Province</t>
        </is>
      </c>
      <c r="B909" t="inlineStr">
        <is>
          <t>AF16</t>
        </is>
      </c>
      <c r="C909" t="inlineStr">
        <is>
          <t>Nuristan</t>
        </is>
      </c>
    </row>
    <row r="910">
      <c r="A910" t="inlineStr">
        <is>
          <t>Province</t>
        </is>
      </c>
      <c r="B910" t="inlineStr">
        <is>
          <t>AF17</t>
        </is>
      </c>
      <c r="C910" t="inlineStr">
        <is>
          <t>Badakhshan</t>
        </is>
      </c>
    </row>
    <row r="911">
      <c r="A911" t="inlineStr">
        <is>
          <t>Province</t>
        </is>
      </c>
      <c r="B911" t="inlineStr">
        <is>
          <t>AF18</t>
        </is>
      </c>
      <c r="C911" t="inlineStr">
        <is>
          <t>Takhar</t>
        </is>
      </c>
    </row>
    <row r="912">
      <c r="A912" t="inlineStr">
        <is>
          <t>Province</t>
        </is>
      </c>
      <c r="B912" t="inlineStr">
        <is>
          <t>AF19</t>
        </is>
      </c>
      <c r="C912" t="inlineStr">
        <is>
          <t>Kunduz</t>
        </is>
      </c>
    </row>
    <row r="913">
      <c r="A913" t="inlineStr">
        <is>
          <t>Province</t>
        </is>
      </c>
      <c r="B913" t="inlineStr">
        <is>
          <t>AF20</t>
        </is>
      </c>
      <c r="C913" t="inlineStr">
        <is>
          <t>Samangan</t>
        </is>
      </c>
    </row>
    <row r="914">
      <c r="A914" t="inlineStr">
        <is>
          <t>Province</t>
        </is>
      </c>
      <c r="B914" t="inlineStr">
        <is>
          <t>AF21</t>
        </is>
      </c>
      <c r="C914" t="inlineStr">
        <is>
          <t>Balkh</t>
        </is>
      </c>
    </row>
    <row r="915">
      <c r="A915" t="inlineStr">
        <is>
          <t>Province</t>
        </is>
      </c>
      <c r="B915" t="inlineStr">
        <is>
          <t>AF22</t>
        </is>
      </c>
      <c r="C915" t="inlineStr">
        <is>
          <t>Sar-e-Pul</t>
        </is>
      </c>
    </row>
    <row r="916">
      <c r="A916" t="inlineStr">
        <is>
          <t>Province</t>
        </is>
      </c>
      <c r="B916" t="inlineStr">
        <is>
          <t>AF23</t>
        </is>
      </c>
      <c r="C916" t="inlineStr">
        <is>
          <t>Ghor</t>
        </is>
      </c>
    </row>
    <row r="917">
      <c r="A917" t="inlineStr">
        <is>
          <t>Province</t>
        </is>
      </c>
      <c r="B917" t="inlineStr">
        <is>
          <t>AF24</t>
        </is>
      </c>
      <c r="C917" t="inlineStr">
        <is>
          <t>Daykundi</t>
        </is>
      </c>
    </row>
    <row r="918">
      <c r="A918" t="inlineStr">
        <is>
          <t>Province</t>
        </is>
      </c>
      <c r="B918" t="inlineStr">
        <is>
          <t>AF25</t>
        </is>
      </c>
      <c r="C918" t="inlineStr">
        <is>
          <t>Uruzgan</t>
        </is>
      </c>
    </row>
    <row r="919">
      <c r="A919" t="inlineStr">
        <is>
          <t>Province</t>
        </is>
      </c>
      <c r="B919" t="inlineStr">
        <is>
          <t>AF26</t>
        </is>
      </c>
      <c r="C919" t="inlineStr">
        <is>
          <t>Zabul</t>
        </is>
      </c>
    </row>
    <row r="920">
      <c r="A920" t="inlineStr">
        <is>
          <t>Province</t>
        </is>
      </c>
      <c r="B920" t="inlineStr">
        <is>
          <t>AF27</t>
        </is>
      </c>
      <c r="C920" t="inlineStr">
        <is>
          <t>Kandahar</t>
        </is>
      </c>
    </row>
    <row r="921">
      <c r="A921" t="inlineStr">
        <is>
          <t>Province</t>
        </is>
      </c>
      <c r="B921" t="inlineStr">
        <is>
          <t>AF28</t>
        </is>
      </c>
      <c r="C921" t="inlineStr">
        <is>
          <t>Jawzjan</t>
        </is>
      </c>
    </row>
    <row r="922">
      <c r="A922" t="inlineStr">
        <is>
          <t>Province</t>
        </is>
      </c>
      <c r="B922" t="inlineStr">
        <is>
          <t>AF29</t>
        </is>
      </c>
      <c r="C922" t="inlineStr">
        <is>
          <t>Faryab</t>
        </is>
      </c>
    </row>
    <row r="923">
      <c r="A923" t="inlineStr">
        <is>
          <t>Province</t>
        </is>
      </c>
      <c r="B923" t="inlineStr">
        <is>
          <t>AF30</t>
        </is>
      </c>
      <c r="C923" t="inlineStr">
        <is>
          <t>Hilmand</t>
        </is>
      </c>
    </row>
    <row r="924">
      <c r="A924" t="inlineStr">
        <is>
          <t>Province</t>
        </is>
      </c>
      <c r="B924" t="inlineStr">
        <is>
          <t>AF31</t>
        </is>
      </c>
      <c r="C924" t="inlineStr">
        <is>
          <t>Badghis</t>
        </is>
      </c>
    </row>
    <row r="925">
      <c r="A925" t="inlineStr">
        <is>
          <t>Province</t>
        </is>
      </c>
      <c r="B925" t="inlineStr">
        <is>
          <t>AF32</t>
        </is>
      </c>
      <c r="C925" t="inlineStr">
        <is>
          <t>Hirat</t>
        </is>
      </c>
    </row>
    <row r="926">
      <c r="A926" t="inlineStr">
        <is>
          <t>Province</t>
        </is>
      </c>
      <c r="B926" t="inlineStr">
        <is>
          <t>AF33</t>
        </is>
      </c>
      <c r="C926" t="inlineStr">
        <is>
          <t>Farah</t>
        </is>
      </c>
    </row>
    <row r="927">
      <c r="A927" t="inlineStr">
        <is>
          <t>Province</t>
        </is>
      </c>
      <c r="B927" t="inlineStr">
        <is>
          <t>AF34</t>
        </is>
      </c>
      <c r="C927" t="inlineStr">
        <is>
          <t>Nimroz</t>
        </is>
      </c>
    </row>
    <row r="928"/>
    <row r="929">
      <c r="A929" t="inlineStr">
        <is>
          <t>District</t>
        </is>
      </c>
      <c r="B929" t="inlineStr">
        <is>
          <t>AF0101</t>
        </is>
      </c>
      <c r="C929" t="inlineStr">
        <is>
          <t>Kabul</t>
        </is>
      </c>
      <c r="E929" t="inlineStr">
        <is>
          <t>AF01</t>
        </is>
      </c>
    </row>
    <row r="930">
      <c r="A930" t="inlineStr">
        <is>
          <t>District</t>
        </is>
      </c>
      <c r="B930" t="inlineStr">
        <is>
          <t>AF0102</t>
        </is>
      </c>
      <c r="C930" t="inlineStr">
        <is>
          <t>Paghman</t>
        </is>
      </c>
      <c r="E930" t="inlineStr">
        <is>
          <t>AF01</t>
        </is>
      </c>
    </row>
    <row r="931">
      <c r="A931" t="inlineStr">
        <is>
          <t>District</t>
        </is>
      </c>
      <c r="B931" t="inlineStr">
        <is>
          <t>AF0103</t>
        </is>
      </c>
      <c r="C931" t="inlineStr">
        <is>
          <t>Chahar Asyab</t>
        </is>
      </c>
      <c r="E931" t="inlineStr">
        <is>
          <t>AF01</t>
        </is>
      </c>
    </row>
    <row r="932">
      <c r="A932" t="inlineStr">
        <is>
          <t>District</t>
        </is>
      </c>
      <c r="B932" t="inlineStr">
        <is>
          <t>AF0104</t>
        </is>
      </c>
      <c r="C932" t="inlineStr">
        <is>
          <t>Bagrami</t>
        </is>
      </c>
      <c r="E932" t="inlineStr">
        <is>
          <t>AF01</t>
        </is>
      </c>
    </row>
    <row r="933">
      <c r="A933" t="inlineStr">
        <is>
          <t>District</t>
        </is>
      </c>
      <c r="B933" t="inlineStr">
        <is>
          <t>AF0105</t>
        </is>
      </c>
      <c r="C933" t="inlineStr">
        <is>
          <t>Deh Sabz</t>
        </is>
      </c>
      <c r="E933" t="inlineStr">
        <is>
          <t>AF01</t>
        </is>
      </c>
    </row>
    <row r="934">
      <c r="A934" t="inlineStr">
        <is>
          <t>District</t>
        </is>
      </c>
      <c r="B934" t="inlineStr">
        <is>
          <t>AF0106</t>
        </is>
      </c>
      <c r="C934" t="inlineStr">
        <is>
          <t>Shakar Dara</t>
        </is>
      </c>
      <c r="E934" t="inlineStr">
        <is>
          <t>AF01</t>
        </is>
      </c>
    </row>
    <row r="935">
      <c r="A935" t="inlineStr">
        <is>
          <t>District</t>
        </is>
      </c>
      <c r="B935" t="inlineStr">
        <is>
          <t>AF0107</t>
        </is>
      </c>
      <c r="C935" t="inlineStr">
        <is>
          <t>Musahi</t>
        </is>
      </c>
      <c r="E935" t="inlineStr">
        <is>
          <t>AF01</t>
        </is>
      </c>
    </row>
    <row r="936">
      <c r="A936" t="inlineStr">
        <is>
          <t>District</t>
        </is>
      </c>
      <c r="B936" t="inlineStr">
        <is>
          <t>AF0108</t>
        </is>
      </c>
      <c r="C936" t="inlineStr">
        <is>
          <t>Mir Bacha Kot</t>
        </is>
      </c>
      <c r="E936" t="inlineStr">
        <is>
          <t>AF01</t>
        </is>
      </c>
    </row>
    <row r="937">
      <c r="A937" t="inlineStr">
        <is>
          <t>District</t>
        </is>
      </c>
      <c r="B937" t="inlineStr">
        <is>
          <t>AF0109</t>
        </is>
      </c>
      <c r="C937" t="inlineStr">
        <is>
          <t>Khak-e-Jabbar</t>
        </is>
      </c>
      <c r="E937" t="inlineStr">
        <is>
          <t>AF01</t>
        </is>
      </c>
    </row>
    <row r="938">
      <c r="A938" t="inlineStr">
        <is>
          <t>District</t>
        </is>
      </c>
      <c r="B938" t="inlineStr">
        <is>
          <t>AF0110</t>
        </is>
      </c>
      <c r="C938" t="inlineStr">
        <is>
          <t>Kalakan</t>
        </is>
      </c>
      <c r="E938" t="inlineStr">
        <is>
          <t>AF01</t>
        </is>
      </c>
    </row>
    <row r="939">
      <c r="A939" t="inlineStr">
        <is>
          <t>District</t>
        </is>
      </c>
      <c r="B939" t="inlineStr">
        <is>
          <t>AF0111</t>
        </is>
      </c>
      <c r="C939" t="inlineStr">
        <is>
          <t>Guldara</t>
        </is>
      </c>
      <c r="E939" t="inlineStr">
        <is>
          <t>AF01</t>
        </is>
      </c>
    </row>
    <row r="940">
      <c r="A940" t="inlineStr">
        <is>
          <t>District</t>
        </is>
      </c>
      <c r="B940" t="inlineStr">
        <is>
          <t>AF0112</t>
        </is>
      </c>
      <c r="C940" t="inlineStr">
        <is>
          <t>Farza</t>
        </is>
      </c>
      <c r="E940" t="inlineStr">
        <is>
          <t>AF01</t>
        </is>
      </c>
    </row>
    <row r="941">
      <c r="A941" t="inlineStr">
        <is>
          <t>District</t>
        </is>
      </c>
      <c r="B941" t="inlineStr">
        <is>
          <t>AF0113</t>
        </is>
      </c>
      <c r="C941" t="inlineStr">
        <is>
          <t>Estalef</t>
        </is>
      </c>
      <c r="E941" t="inlineStr">
        <is>
          <t>AF01</t>
        </is>
      </c>
    </row>
    <row r="942">
      <c r="A942" t="inlineStr">
        <is>
          <t>District</t>
        </is>
      </c>
      <c r="B942" t="inlineStr">
        <is>
          <t>AF0114</t>
        </is>
      </c>
      <c r="C942" t="inlineStr">
        <is>
          <t>Qara Bagh</t>
        </is>
      </c>
      <c r="E942" t="inlineStr">
        <is>
          <t>AF01</t>
        </is>
      </c>
    </row>
    <row r="943">
      <c r="A943" t="inlineStr">
        <is>
          <t>District</t>
        </is>
      </c>
      <c r="B943" t="inlineStr">
        <is>
          <t>AF0115</t>
        </is>
      </c>
      <c r="C943" t="inlineStr">
        <is>
          <t>Surobi</t>
        </is>
      </c>
      <c r="E943" t="inlineStr">
        <is>
          <t>AF01</t>
        </is>
      </c>
    </row>
    <row r="944">
      <c r="A944" t="inlineStr">
        <is>
          <t>District</t>
        </is>
      </c>
      <c r="B944" t="inlineStr">
        <is>
          <t>AF0201</t>
        </is>
      </c>
      <c r="C944" t="inlineStr">
        <is>
          <t>Mahmood-e-Raqi</t>
        </is>
      </c>
      <c r="E944" t="inlineStr">
        <is>
          <t>AF02</t>
        </is>
      </c>
    </row>
    <row r="945">
      <c r="A945" t="inlineStr">
        <is>
          <t>District</t>
        </is>
      </c>
      <c r="B945" t="inlineStr">
        <is>
          <t>AF0202</t>
        </is>
      </c>
      <c r="C945" t="inlineStr">
        <is>
          <t>Hisa-e-Duwum-e-Kohistan</t>
        </is>
      </c>
      <c r="E945" t="inlineStr">
        <is>
          <t>AF02</t>
        </is>
      </c>
    </row>
    <row r="946">
      <c r="A946" t="inlineStr">
        <is>
          <t>District</t>
        </is>
      </c>
      <c r="B946" t="inlineStr">
        <is>
          <t>AF0203</t>
        </is>
      </c>
      <c r="C946" t="inlineStr">
        <is>
          <t>Koh Band</t>
        </is>
      </c>
      <c r="E946" t="inlineStr">
        <is>
          <t>AF02</t>
        </is>
      </c>
    </row>
    <row r="947">
      <c r="A947" t="inlineStr">
        <is>
          <t>District</t>
        </is>
      </c>
      <c r="B947" t="inlineStr">
        <is>
          <t>AF0204</t>
        </is>
      </c>
      <c r="C947" t="inlineStr">
        <is>
          <t>Hisa-e-Awal-e-Kohistan</t>
        </is>
      </c>
      <c r="E947" t="inlineStr">
        <is>
          <t>AF02</t>
        </is>
      </c>
    </row>
    <row r="948">
      <c r="A948" t="inlineStr">
        <is>
          <t>District</t>
        </is>
      </c>
      <c r="B948" t="inlineStr">
        <is>
          <t>AF0205</t>
        </is>
      </c>
      <c r="C948" t="inlineStr">
        <is>
          <t>Nijrab</t>
        </is>
      </c>
      <c r="E948" t="inlineStr">
        <is>
          <t>AF02</t>
        </is>
      </c>
    </row>
    <row r="949">
      <c r="A949" t="inlineStr">
        <is>
          <t>District</t>
        </is>
      </c>
      <c r="B949" t="inlineStr">
        <is>
          <t>AF0206</t>
        </is>
      </c>
      <c r="C949" t="inlineStr">
        <is>
          <t>Tagab</t>
        </is>
      </c>
      <c r="E949" t="inlineStr">
        <is>
          <t>AF02</t>
        </is>
      </c>
    </row>
    <row r="950">
      <c r="A950" t="inlineStr">
        <is>
          <t>District</t>
        </is>
      </c>
      <c r="B950" t="inlineStr">
        <is>
          <t>AF0207</t>
        </is>
      </c>
      <c r="C950" t="inlineStr">
        <is>
          <t>Alasay</t>
        </is>
      </c>
      <c r="E950" t="inlineStr">
        <is>
          <t>AF02</t>
        </is>
      </c>
    </row>
    <row r="951">
      <c r="A951" t="inlineStr">
        <is>
          <t>District</t>
        </is>
      </c>
      <c r="B951" t="inlineStr">
        <is>
          <t>AF0301</t>
        </is>
      </c>
      <c r="C951" t="inlineStr">
        <is>
          <t>Charikar</t>
        </is>
      </c>
      <c r="E951" t="inlineStr">
        <is>
          <t>AF03</t>
        </is>
      </c>
    </row>
    <row r="952">
      <c r="A952" t="inlineStr">
        <is>
          <t>District</t>
        </is>
      </c>
      <c r="B952" t="inlineStr">
        <is>
          <t>AF0302</t>
        </is>
      </c>
      <c r="C952" t="inlineStr">
        <is>
          <t>Bagram</t>
        </is>
      </c>
      <c r="E952" t="inlineStr">
        <is>
          <t>AF03</t>
        </is>
      </c>
    </row>
    <row r="953">
      <c r="A953" t="inlineStr">
        <is>
          <t>District</t>
        </is>
      </c>
      <c r="B953" t="inlineStr">
        <is>
          <t>AF0303</t>
        </is>
      </c>
      <c r="C953" t="inlineStr">
        <is>
          <t>Shinwari</t>
        </is>
      </c>
      <c r="E953" t="inlineStr">
        <is>
          <t>AF03</t>
        </is>
      </c>
    </row>
    <row r="954">
      <c r="A954" t="inlineStr">
        <is>
          <t>District</t>
        </is>
      </c>
      <c r="B954" t="inlineStr">
        <is>
          <t>AF0304</t>
        </is>
      </c>
      <c r="C954" t="inlineStr">
        <is>
          <t>Sayed Khel</t>
        </is>
      </c>
      <c r="E954" t="inlineStr">
        <is>
          <t>AF03</t>
        </is>
      </c>
    </row>
    <row r="955">
      <c r="A955" t="inlineStr">
        <is>
          <t>District</t>
        </is>
      </c>
      <c r="B955" t="inlineStr">
        <is>
          <t>AF0305</t>
        </is>
      </c>
      <c r="C955" t="inlineStr">
        <is>
          <t>Jabal Saraj</t>
        </is>
      </c>
      <c r="E955" t="inlineStr">
        <is>
          <t>AF03</t>
        </is>
      </c>
    </row>
    <row r="956">
      <c r="A956" t="inlineStr">
        <is>
          <t>District</t>
        </is>
      </c>
      <c r="B956" t="inlineStr">
        <is>
          <t>AF0306</t>
        </is>
      </c>
      <c r="C956" t="inlineStr">
        <is>
          <t>Salang</t>
        </is>
      </c>
      <c r="E956" t="inlineStr">
        <is>
          <t>AF03</t>
        </is>
      </c>
    </row>
    <row r="957">
      <c r="A957" t="inlineStr">
        <is>
          <t>District</t>
        </is>
      </c>
      <c r="B957" t="inlineStr">
        <is>
          <t>AF0307</t>
        </is>
      </c>
      <c r="C957" t="inlineStr">
        <is>
          <t>Ghorband</t>
        </is>
      </c>
      <c r="E957" t="inlineStr">
        <is>
          <t>AF03</t>
        </is>
      </c>
    </row>
    <row r="958">
      <c r="A958" t="inlineStr">
        <is>
          <t>District</t>
        </is>
      </c>
      <c r="B958" t="inlineStr">
        <is>
          <t>AF0308</t>
        </is>
      </c>
      <c r="C958" t="inlineStr">
        <is>
          <t>Koh-e-Safi</t>
        </is>
      </c>
      <c r="E958" t="inlineStr">
        <is>
          <t>AF03</t>
        </is>
      </c>
    </row>
    <row r="959">
      <c r="A959" t="inlineStr">
        <is>
          <t>District</t>
        </is>
      </c>
      <c r="B959" t="inlineStr">
        <is>
          <t>AF0309</t>
        </is>
      </c>
      <c r="C959" t="inlineStr">
        <is>
          <t>Surkh-e-Parsa</t>
        </is>
      </c>
      <c r="E959" t="inlineStr">
        <is>
          <t>AF03</t>
        </is>
      </c>
    </row>
    <row r="960">
      <c r="A960" t="inlineStr">
        <is>
          <t>District</t>
        </is>
      </c>
      <c r="B960" t="inlineStr">
        <is>
          <t>AF0310</t>
        </is>
      </c>
      <c r="C960" t="inlineStr">
        <is>
          <t>Shekh Ali</t>
        </is>
      </c>
      <c r="E960" t="inlineStr">
        <is>
          <t>AF03</t>
        </is>
      </c>
    </row>
    <row r="961">
      <c r="A961" t="inlineStr">
        <is>
          <t>District</t>
        </is>
      </c>
      <c r="B961" t="inlineStr">
        <is>
          <t>AF0401</t>
        </is>
      </c>
      <c r="C961" t="inlineStr">
        <is>
          <t>Maydan Shahr</t>
        </is>
      </c>
      <c r="E961" t="inlineStr">
        <is>
          <t>AF04</t>
        </is>
      </c>
    </row>
    <row r="962">
      <c r="A962" t="inlineStr">
        <is>
          <t>District</t>
        </is>
      </c>
      <c r="B962" t="inlineStr">
        <is>
          <t>AF0402</t>
        </is>
      </c>
      <c r="C962" t="inlineStr">
        <is>
          <t>Nerkh</t>
        </is>
      </c>
      <c r="E962" t="inlineStr">
        <is>
          <t>AF04</t>
        </is>
      </c>
    </row>
    <row r="963">
      <c r="A963" t="inlineStr">
        <is>
          <t>District</t>
        </is>
      </c>
      <c r="B963" t="inlineStr">
        <is>
          <t>AF0403</t>
        </is>
      </c>
      <c r="C963" t="inlineStr">
        <is>
          <t>Jalrez</t>
        </is>
      </c>
      <c r="E963" t="inlineStr">
        <is>
          <t>AF04</t>
        </is>
      </c>
    </row>
    <row r="964">
      <c r="A964" t="inlineStr">
        <is>
          <t>District</t>
        </is>
      </c>
      <c r="B964" t="inlineStr">
        <is>
          <t>AF0404</t>
        </is>
      </c>
      <c r="C964" t="inlineStr">
        <is>
          <t>Chak-e-Wardak</t>
        </is>
      </c>
      <c r="E964" t="inlineStr">
        <is>
          <t>AF04</t>
        </is>
      </c>
    </row>
    <row r="965">
      <c r="A965" t="inlineStr">
        <is>
          <t>District</t>
        </is>
      </c>
      <c r="B965" t="inlineStr">
        <is>
          <t>AF0405</t>
        </is>
      </c>
      <c r="C965" t="inlineStr">
        <is>
          <t>Saydabad</t>
        </is>
      </c>
      <c r="E965" t="inlineStr">
        <is>
          <t>AF04</t>
        </is>
      </c>
    </row>
    <row r="966">
      <c r="A966" t="inlineStr">
        <is>
          <t>District</t>
        </is>
      </c>
      <c r="B966" t="inlineStr">
        <is>
          <t>AF0406</t>
        </is>
      </c>
      <c r="C966" t="inlineStr">
        <is>
          <t>Daymirdad</t>
        </is>
      </c>
      <c r="E966" t="inlineStr">
        <is>
          <t>AF04</t>
        </is>
      </c>
    </row>
    <row r="967">
      <c r="A967" t="inlineStr">
        <is>
          <t>District</t>
        </is>
      </c>
      <c r="B967" t="inlineStr">
        <is>
          <t>AF0407</t>
        </is>
      </c>
      <c r="C967" t="inlineStr">
        <is>
          <t>Hesa-e-Awal-e-Behsud</t>
        </is>
      </c>
      <c r="E967" t="inlineStr">
        <is>
          <t>AF04</t>
        </is>
      </c>
    </row>
    <row r="968">
      <c r="A968" t="inlineStr">
        <is>
          <t>District</t>
        </is>
      </c>
      <c r="B968" t="inlineStr">
        <is>
          <t>AF0408</t>
        </is>
      </c>
      <c r="C968" t="inlineStr">
        <is>
          <t>Jaghatu</t>
        </is>
      </c>
      <c r="E968" t="inlineStr">
        <is>
          <t>AF04</t>
        </is>
      </c>
    </row>
    <row r="969">
      <c r="A969" t="inlineStr">
        <is>
          <t>District</t>
        </is>
      </c>
      <c r="B969" t="inlineStr">
        <is>
          <t>AF0409</t>
        </is>
      </c>
      <c r="C969" t="inlineStr">
        <is>
          <t>Markaz-e-Behsud</t>
        </is>
      </c>
      <c r="E969" t="inlineStr">
        <is>
          <t>AF04</t>
        </is>
      </c>
    </row>
    <row r="970">
      <c r="A970" t="inlineStr">
        <is>
          <t>District</t>
        </is>
      </c>
      <c r="B970" t="inlineStr">
        <is>
          <t>AF0501</t>
        </is>
      </c>
      <c r="C970" t="inlineStr">
        <is>
          <t>Pul-e-Alam</t>
        </is>
      </c>
      <c r="E970" t="inlineStr">
        <is>
          <t>AF05</t>
        </is>
      </c>
    </row>
    <row r="971">
      <c r="A971" t="inlineStr">
        <is>
          <t>District</t>
        </is>
      </c>
      <c r="B971" t="inlineStr">
        <is>
          <t>AF0502</t>
        </is>
      </c>
      <c r="C971" t="inlineStr">
        <is>
          <t>Baraki Barak</t>
        </is>
      </c>
      <c r="E971" t="inlineStr">
        <is>
          <t>AF05</t>
        </is>
      </c>
    </row>
    <row r="972">
      <c r="A972" t="inlineStr">
        <is>
          <t>District</t>
        </is>
      </c>
      <c r="B972" t="inlineStr">
        <is>
          <t>AF0503</t>
        </is>
      </c>
      <c r="C972" t="inlineStr">
        <is>
          <t>Charkh</t>
        </is>
      </c>
      <c r="E972" t="inlineStr">
        <is>
          <t>AF05</t>
        </is>
      </c>
    </row>
    <row r="973">
      <c r="A973" t="inlineStr">
        <is>
          <t>District</t>
        </is>
      </c>
      <c r="B973" t="inlineStr">
        <is>
          <t>AF0504</t>
        </is>
      </c>
      <c r="C973" t="inlineStr">
        <is>
          <t>Khoshi</t>
        </is>
      </c>
      <c r="E973" t="inlineStr">
        <is>
          <t>AF05</t>
        </is>
      </c>
    </row>
    <row r="974">
      <c r="A974" t="inlineStr">
        <is>
          <t>District</t>
        </is>
      </c>
      <c r="B974" t="inlineStr">
        <is>
          <t>AF0505</t>
        </is>
      </c>
      <c r="C974" t="inlineStr">
        <is>
          <t>Mohammad Agha</t>
        </is>
      </c>
      <c r="E974" t="inlineStr">
        <is>
          <t>AF05</t>
        </is>
      </c>
    </row>
    <row r="975">
      <c r="A975" t="inlineStr">
        <is>
          <t>District</t>
        </is>
      </c>
      <c r="B975" t="inlineStr">
        <is>
          <t>AF0506</t>
        </is>
      </c>
      <c r="C975" t="inlineStr">
        <is>
          <t>Kharwar</t>
        </is>
      </c>
      <c r="E975" t="inlineStr">
        <is>
          <t>AF05</t>
        </is>
      </c>
    </row>
    <row r="976">
      <c r="A976" t="inlineStr">
        <is>
          <t>District</t>
        </is>
      </c>
      <c r="B976" t="inlineStr">
        <is>
          <t>AF0507</t>
        </is>
      </c>
      <c r="C976" t="inlineStr">
        <is>
          <t>Azra</t>
        </is>
      </c>
      <c r="E976" t="inlineStr">
        <is>
          <t>AF05</t>
        </is>
      </c>
    </row>
    <row r="977">
      <c r="A977" t="inlineStr">
        <is>
          <t>District</t>
        </is>
      </c>
      <c r="B977" t="inlineStr">
        <is>
          <t>AF0601</t>
        </is>
      </c>
      <c r="C977" t="inlineStr">
        <is>
          <t>Jalalabad</t>
        </is>
      </c>
      <c r="E977" t="inlineStr">
        <is>
          <t>AF06</t>
        </is>
      </c>
    </row>
    <row r="978">
      <c r="A978" t="inlineStr">
        <is>
          <t>District</t>
        </is>
      </c>
      <c r="B978" t="inlineStr">
        <is>
          <t>AF0602</t>
        </is>
      </c>
      <c r="C978" t="inlineStr">
        <is>
          <t>Behsud</t>
        </is>
      </c>
      <c r="E978" t="inlineStr">
        <is>
          <t>AF06</t>
        </is>
      </c>
    </row>
    <row r="979">
      <c r="A979" t="inlineStr">
        <is>
          <t>District</t>
        </is>
      </c>
      <c r="B979" t="inlineStr">
        <is>
          <t>AF0603</t>
        </is>
      </c>
      <c r="C979" t="inlineStr">
        <is>
          <t>Surkh Rod</t>
        </is>
      </c>
      <c r="E979" t="inlineStr">
        <is>
          <t>AF06</t>
        </is>
      </c>
    </row>
    <row r="980">
      <c r="A980" t="inlineStr">
        <is>
          <t>District</t>
        </is>
      </c>
      <c r="B980" t="inlineStr">
        <is>
          <t>AF0604</t>
        </is>
      </c>
      <c r="C980" t="inlineStr">
        <is>
          <t>Chaparhar</t>
        </is>
      </c>
      <c r="E980" t="inlineStr">
        <is>
          <t>AF06</t>
        </is>
      </c>
    </row>
    <row r="981">
      <c r="A981" t="inlineStr">
        <is>
          <t>District</t>
        </is>
      </c>
      <c r="B981" t="inlineStr">
        <is>
          <t>AF0605</t>
        </is>
      </c>
      <c r="C981" t="inlineStr">
        <is>
          <t>Kama</t>
        </is>
      </c>
      <c r="E981" t="inlineStr">
        <is>
          <t>AF06</t>
        </is>
      </c>
    </row>
    <row r="982">
      <c r="A982" t="inlineStr">
        <is>
          <t>District</t>
        </is>
      </c>
      <c r="B982" t="inlineStr">
        <is>
          <t>AF0606</t>
        </is>
      </c>
      <c r="C982" t="inlineStr">
        <is>
          <t>Kuz Kunar</t>
        </is>
      </c>
      <c r="E982" t="inlineStr">
        <is>
          <t>AF06</t>
        </is>
      </c>
    </row>
    <row r="983">
      <c r="A983" t="inlineStr">
        <is>
          <t>District</t>
        </is>
      </c>
      <c r="B983" t="inlineStr">
        <is>
          <t>AF0607</t>
        </is>
      </c>
      <c r="C983" t="inlineStr">
        <is>
          <t>Rodat</t>
        </is>
      </c>
      <c r="E983" t="inlineStr">
        <is>
          <t>AF06</t>
        </is>
      </c>
    </row>
    <row r="984">
      <c r="A984" t="inlineStr">
        <is>
          <t>District</t>
        </is>
      </c>
      <c r="B984" t="inlineStr">
        <is>
          <t>AF0608</t>
        </is>
      </c>
      <c r="C984" t="inlineStr">
        <is>
          <t>Khogyani</t>
        </is>
      </c>
      <c r="E984" t="inlineStr">
        <is>
          <t>AF06</t>
        </is>
      </c>
    </row>
    <row r="985">
      <c r="A985" t="inlineStr">
        <is>
          <t>District</t>
        </is>
      </c>
      <c r="B985" t="inlineStr">
        <is>
          <t>AF0609</t>
        </is>
      </c>
      <c r="C985" t="inlineStr">
        <is>
          <t>Bati Kot</t>
        </is>
      </c>
      <c r="E985" t="inlineStr">
        <is>
          <t>AF06</t>
        </is>
      </c>
    </row>
    <row r="986">
      <c r="A986" t="inlineStr">
        <is>
          <t>District</t>
        </is>
      </c>
      <c r="B986" t="inlineStr">
        <is>
          <t>AF0610</t>
        </is>
      </c>
      <c r="C986" t="inlineStr">
        <is>
          <t>Deh Bala</t>
        </is>
      </c>
      <c r="E986" t="inlineStr">
        <is>
          <t>AF06</t>
        </is>
      </c>
    </row>
    <row r="987">
      <c r="A987" t="inlineStr">
        <is>
          <t>District</t>
        </is>
      </c>
      <c r="B987" t="inlineStr">
        <is>
          <t>AF0611</t>
        </is>
      </c>
      <c r="C987" t="inlineStr">
        <is>
          <t>Pachir Wa Agam</t>
        </is>
      </c>
      <c r="E987" t="inlineStr">
        <is>
          <t>AF06</t>
        </is>
      </c>
    </row>
    <row r="988">
      <c r="A988" t="inlineStr">
        <is>
          <t>District</t>
        </is>
      </c>
      <c r="B988" t="inlineStr">
        <is>
          <t>AF0612</t>
        </is>
      </c>
      <c r="C988" t="inlineStr">
        <is>
          <t>Dara-e-Nur</t>
        </is>
      </c>
      <c r="E988" t="inlineStr">
        <is>
          <t>AF06</t>
        </is>
      </c>
    </row>
    <row r="989">
      <c r="A989" t="inlineStr">
        <is>
          <t>District</t>
        </is>
      </c>
      <c r="B989" t="inlineStr">
        <is>
          <t>AF0613</t>
        </is>
      </c>
      <c r="C989" t="inlineStr">
        <is>
          <t>Kot</t>
        </is>
      </c>
      <c r="E989" t="inlineStr">
        <is>
          <t>AF06</t>
        </is>
      </c>
    </row>
    <row r="990">
      <c r="A990" t="inlineStr">
        <is>
          <t>District</t>
        </is>
      </c>
      <c r="B990" t="inlineStr">
        <is>
          <t>AF0614</t>
        </is>
      </c>
      <c r="C990" t="inlineStr">
        <is>
          <t>Goshta</t>
        </is>
      </c>
      <c r="E990" t="inlineStr">
        <is>
          <t>AF06</t>
        </is>
      </c>
    </row>
    <row r="991">
      <c r="A991" t="inlineStr">
        <is>
          <t>District</t>
        </is>
      </c>
      <c r="B991" t="inlineStr">
        <is>
          <t>AF0615</t>
        </is>
      </c>
      <c r="C991" t="inlineStr">
        <is>
          <t>Achin</t>
        </is>
      </c>
      <c r="E991" t="inlineStr">
        <is>
          <t>AF06</t>
        </is>
      </c>
    </row>
    <row r="992">
      <c r="A992" t="inlineStr">
        <is>
          <t>District</t>
        </is>
      </c>
      <c r="B992" t="inlineStr">
        <is>
          <t>AF0616</t>
        </is>
      </c>
      <c r="C992" t="inlineStr">
        <is>
          <t>Shinwar</t>
        </is>
      </c>
      <c r="E992" t="inlineStr">
        <is>
          <t>AF06</t>
        </is>
      </c>
    </row>
    <row r="993">
      <c r="A993" t="inlineStr">
        <is>
          <t>District</t>
        </is>
      </c>
      <c r="B993" t="inlineStr">
        <is>
          <t>AF0617</t>
        </is>
      </c>
      <c r="C993" t="inlineStr">
        <is>
          <t>Muhmand Dara</t>
        </is>
      </c>
      <c r="E993" t="inlineStr">
        <is>
          <t>AF06</t>
        </is>
      </c>
    </row>
    <row r="994">
      <c r="A994" t="inlineStr">
        <is>
          <t>District</t>
        </is>
      </c>
      <c r="B994" t="inlineStr">
        <is>
          <t>AF0618</t>
        </is>
      </c>
      <c r="C994" t="inlineStr">
        <is>
          <t>Lalpur</t>
        </is>
      </c>
      <c r="E994" t="inlineStr">
        <is>
          <t>AF06</t>
        </is>
      </c>
    </row>
    <row r="995">
      <c r="A995" t="inlineStr">
        <is>
          <t>District</t>
        </is>
      </c>
      <c r="B995" t="inlineStr">
        <is>
          <t>AF0619</t>
        </is>
      </c>
      <c r="C995" t="inlineStr">
        <is>
          <t>Sherzad</t>
        </is>
      </c>
      <c r="E995" t="inlineStr">
        <is>
          <t>AF06</t>
        </is>
      </c>
    </row>
    <row r="996">
      <c r="A996" t="inlineStr">
        <is>
          <t>District</t>
        </is>
      </c>
      <c r="B996" t="inlineStr">
        <is>
          <t>AF0620</t>
        </is>
      </c>
      <c r="C996" t="inlineStr">
        <is>
          <t>Nazyan</t>
        </is>
      </c>
      <c r="E996" t="inlineStr">
        <is>
          <t>AF06</t>
        </is>
      </c>
    </row>
    <row r="997">
      <c r="A997" t="inlineStr">
        <is>
          <t>District</t>
        </is>
      </c>
      <c r="B997" t="inlineStr">
        <is>
          <t>AF0621</t>
        </is>
      </c>
      <c r="C997" t="inlineStr">
        <is>
          <t>Hesarak</t>
        </is>
      </c>
      <c r="E997" t="inlineStr">
        <is>
          <t>AF06</t>
        </is>
      </c>
    </row>
    <row r="998">
      <c r="A998" t="inlineStr">
        <is>
          <t>District</t>
        </is>
      </c>
      <c r="B998" t="inlineStr">
        <is>
          <t>AF0622</t>
        </is>
      </c>
      <c r="C998" t="inlineStr">
        <is>
          <t>Dur Baba</t>
        </is>
      </c>
      <c r="E998" t="inlineStr">
        <is>
          <t>AF06</t>
        </is>
      </c>
    </row>
    <row r="999">
      <c r="A999" t="inlineStr">
        <is>
          <t>District</t>
        </is>
      </c>
      <c r="B999" t="inlineStr">
        <is>
          <t>AF0701</t>
        </is>
      </c>
      <c r="C999" t="inlineStr">
        <is>
          <t>Mehtarlam</t>
        </is>
      </c>
      <c r="E999" t="inlineStr">
        <is>
          <t>AF07</t>
        </is>
      </c>
    </row>
    <row r="1000">
      <c r="A1000" t="inlineStr">
        <is>
          <t>District</t>
        </is>
      </c>
      <c r="B1000" t="inlineStr">
        <is>
          <t>AF0702</t>
        </is>
      </c>
      <c r="C1000" t="inlineStr">
        <is>
          <t>Qarghayi</t>
        </is>
      </c>
      <c r="E1000" t="inlineStr">
        <is>
          <t>AF07</t>
        </is>
      </c>
    </row>
    <row r="1001">
      <c r="A1001" t="inlineStr">
        <is>
          <t>District</t>
        </is>
      </c>
      <c r="B1001" t="inlineStr">
        <is>
          <t>AF0703</t>
        </is>
      </c>
      <c r="C1001" t="inlineStr">
        <is>
          <t>Alishang</t>
        </is>
      </c>
      <c r="E1001" t="inlineStr">
        <is>
          <t>AF07</t>
        </is>
      </c>
    </row>
    <row r="1002">
      <c r="A1002" t="inlineStr">
        <is>
          <t>District</t>
        </is>
      </c>
      <c r="B1002" t="inlineStr">
        <is>
          <t>AF0704</t>
        </is>
      </c>
      <c r="C1002" t="inlineStr">
        <is>
          <t>Alingar</t>
        </is>
      </c>
      <c r="E1002" t="inlineStr">
        <is>
          <t>AF07</t>
        </is>
      </c>
    </row>
    <row r="1003">
      <c r="A1003" t="inlineStr">
        <is>
          <t>District</t>
        </is>
      </c>
      <c r="B1003" t="inlineStr">
        <is>
          <t>AF0705</t>
        </is>
      </c>
      <c r="C1003" t="inlineStr">
        <is>
          <t>Dawlatshah</t>
        </is>
      </c>
      <c r="E1003" t="inlineStr">
        <is>
          <t>AF07</t>
        </is>
      </c>
    </row>
    <row r="1004">
      <c r="A1004" t="inlineStr">
        <is>
          <t>District</t>
        </is>
      </c>
      <c r="B1004" t="inlineStr">
        <is>
          <t>AF0801</t>
        </is>
      </c>
      <c r="C1004" t="inlineStr">
        <is>
          <t>Bazarak</t>
        </is>
      </c>
      <c r="E1004" t="inlineStr">
        <is>
          <t>AF08</t>
        </is>
      </c>
    </row>
    <row r="1005">
      <c r="A1005" t="inlineStr">
        <is>
          <t>District</t>
        </is>
      </c>
      <c r="B1005" t="inlineStr">
        <is>
          <t>AF0802</t>
        </is>
      </c>
      <c r="C1005" t="inlineStr">
        <is>
          <t>Rukha</t>
        </is>
      </c>
      <c r="E1005" t="inlineStr">
        <is>
          <t>AF08</t>
        </is>
      </c>
    </row>
    <row r="1006">
      <c r="A1006" t="inlineStr">
        <is>
          <t>District</t>
        </is>
      </c>
      <c r="B1006" t="inlineStr">
        <is>
          <t>AF0803</t>
        </is>
      </c>
      <c r="C1006" t="inlineStr">
        <is>
          <t>Dara</t>
        </is>
      </c>
      <c r="E1006" t="inlineStr">
        <is>
          <t>AF08</t>
        </is>
      </c>
    </row>
    <row r="1007">
      <c r="A1007" t="inlineStr">
        <is>
          <t>District</t>
        </is>
      </c>
      <c r="B1007" t="inlineStr">
        <is>
          <t>AF0804</t>
        </is>
      </c>
      <c r="C1007" t="inlineStr">
        <is>
          <t>Khenj</t>
        </is>
      </c>
      <c r="E1007" t="inlineStr">
        <is>
          <t>AF08</t>
        </is>
      </c>
    </row>
    <row r="1008">
      <c r="A1008" t="inlineStr">
        <is>
          <t>District</t>
        </is>
      </c>
      <c r="B1008" t="inlineStr">
        <is>
          <t>AF0805</t>
        </is>
      </c>
      <c r="C1008" t="inlineStr">
        <is>
          <t>Anawa</t>
        </is>
      </c>
      <c r="E1008" t="inlineStr">
        <is>
          <t>AF08</t>
        </is>
      </c>
    </row>
    <row r="1009">
      <c r="A1009" t="inlineStr">
        <is>
          <t>District</t>
        </is>
      </c>
      <c r="B1009" t="inlineStr">
        <is>
          <t>AF0806</t>
        </is>
      </c>
      <c r="C1009" t="inlineStr">
        <is>
          <t>Shutul</t>
        </is>
      </c>
      <c r="E1009" t="inlineStr">
        <is>
          <t>AF08</t>
        </is>
      </c>
    </row>
    <row r="1010">
      <c r="A1010" t="inlineStr">
        <is>
          <t>District</t>
        </is>
      </c>
      <c r="B1010" t="inlineStr">
        <is>
          <t>AF0807</t>
        </is>
      </c>
      <c r="C1010" t="inlineStr">
        <is>
          <t>Paryan</t>
        </is>
      </c>
      <c r="E1010" t="inlineStr">
        <is>
          <t>AF08</t>
        </is>
      </c>
    </row>
    <row r="1011">
      <c r="A1011" t="inlineStr">
        <is>
          <t>District</t>
        </is>
      </c>
      <c r="B1011" t="inlineStr">
        <is>
          <t>AF0901</t>
        </is>
      </c>
      <c r="C1011" t="inlineStr">
        <is>
          <t>Pul-e-Khumri</t>
        </is>
      </c>
      <c r="E1011" t="inlineStr">
        <is>
          <t>AF09</t>
        </is>
      </c>
    </row>
    <row r="1012">
      <c r="A1012" t="inlineStr">
        <is>
          <t>District</t>
        </is>
      </c>
      <c r="B1012" t="inlineStr">
        <is>
          <t>AF0902</t>
        </is>
      </c>
      <c r="C1012" t="inlineStr">
        <is>
          <t>Dahana-e-Ghori</t>
        </is>
      </c>
      <c r="E1012" t="inlineStr">
        <is>
          <t>AF09</t>
        </is>
      </c>
    </row>
    <row r="1013">
      <c r="A1013" t="inlineStr">
        <is>
          <t>District</t>
        </is>
      </c>
      <c r="B1013" t="inlineStr">
        <is>
          <t>AF0903</t>
        </is>
      </c>
      <c r="C1013" t="inlineStr">
        <is>
          <t>Doshi</t>
        </is>
      </c>
      <c r="E1013" t="inlineStr">
        <is>
          <t>AF09</t>
        </is>
      </c>
    </row>
    <row r="1014">
      <c r="A1014" t="inlineStr">
        <is>
          <t>District</t>
        </is>
      </c>
      <c r="B1014" t="inlineStr">
        <is>
          <t>AF0904</t>
        </is>
      </c>
      <c r="C1014" t="inlineStr">
        <is>
          <t>Nahrin</t>
        </is>
      </c>
      <c r="E1014" t="inlineStr">
        <is>
          <t>AF09</t>
        </is>
      </c>
    </row>
    <row r="1015">
      <c r="A1015" t="inlineStr">
        <is>
          <t>District</t>
        </is>
      </c>
      <c r="B1015" t="inlineStr">
        <is>
          <t>AF0905</t>
        </is>
      </c>
      <c r="C1015" t="inlineStr">
        <is>
          <t>Baghlan-e-Jadid</t>
        </is>
      </c>
      <c r="E1015" t="inlineStr">
        <is>
          <t>AF09</t>
        </is>
      </c>
    </row>
    <row r="1016">
      <c r="A1016" t="inlineStr">
        <is>
          <t>District</t>
        </is>
      </c>
      <c r="B1016" t="inlineStr">
        <is>
          <t>AF0906</t>
        </is>
      </c>
      <c r="C1016" t="inlineStr">
        <is>
          <t>Khinjan</t>
        </is>
      </c>
      <c r="E1016" t="inlineStr">
        <is>
          <t>AF09</t>
        </is>
      </c>
    </row>
    <row r="1017">
      <c r="A1017" t="inlineStr">
        <is>
          <t>District</t>
        </is>
      </c>
      <c r="B1017" t="inlineStr">
        <is>
          <t>AF0907</t>
        </is>
      </c>
      <c r="C1017" t="inlineStr">
        <is>
          <t>Andarab</t>
        </is>
      </c>
      <c r="E1017" t="inlineStr">
        <is>
          <t>AF09</t>
        </is>
      </c>
    </row>
    <row r="1018">
      <c r="A1018" t="inlineStr">
        <is>
          <t>District</t>
        </is>
      </c>
      <c r="B1018" t="inlineStr">
        <is>
          <t>AF0908</t>
        </is>
      </c>
      <c r="C1018" t="inlineStr">
        <is>
          <t>Deh Salah</t>
        </is>
      </c>
      <c r="E1018" t="inlineStr">
        <is>
          <t>AF09</t>
        </is>
      </c>
    </row>
    <row r="1019">
      <c r="A1019" t="inlineStr">
        <is>
          <t>District</t>
        </is>
      </c>
      <c r="B1019" t="inlineStr">
        <is>
          <t>AF0909</t>
        </is>
      </c>
      <c r="C1019" t="inlineStr">
        <is>
          <t>Khwaja Hejran</t>
        </is>
      </c>
      <c r="E1019" t="inlineStr">
        <is>
          <t>AF09</t>
        </is>
      </c>
    </row>
    <row r="1020">
      <c r="A1020" t="inlineStr">
        <is>
          <t>District</t>
        </is>
      </c>
      <c r="B1020" t="inlineStr">
        <is>
          <t>AF0910</t>
        </is>
      </c>
      <c r="C1020" t="inlineStr">
        <is>
          <t>Burka</t>
        </is>
      </c>
      <c r="E1020" t="inlineStr">
        <is>
          <t>AF09</t>
        </is>
      </c>
    </row>
    <row r="1021">
      <c r="A1021" t="inlineStr">
        <is>
          <t>District</t>
        </is>
      </c>
      <c r="B1021" t="inlineStr">
        <is>
          <t>AF0911</t>
        </is>
      </c>
      <c r="C1021" t="inlineStr">
        <is>
          <t>Tala Wa Barfak</t>
        </is>
      </c>
      <c r="E1021" t="inlineStr">
        <is>
          <t>AF09</t>
        </is>
      </c>
    </row>
    <row r="1022">
      <c r="A1022" t="inlineStr">
        <is>
          <t>District</t>
        </is>
      </c>
      <c r="B1022" t="inlineStr">
        <is>
          <t>AF0912</t>
        </is>
      </c>
      <c r="C1022" t="inlineStr">
        <is>
          <t>Pul-e-Hisar</t>
        </is>
      </c>
      <c r="E1022" t="inlineStr">
        <is>
          <t>AF09</t>
        </is>
      </c>
    </row>
    <row r="1023">
      <c r="A1023" t="inlineStr">
        <is>
          <t>District</t>
        </is>
      </c>
      <c r="B1023" t="inlineStr">
        <is>
          <t>AF0913</t>
        </is>
      </c>
      <c r="C1023" t="inlineStr">
        <is>
          <t>Khost Wa Fereng</t>
        </is>
      </c>
      <c r="E1023" t="inlineStr">
        <is>
          <t>AF09</t>
        </is>
      </c>
    </row>
    <row r="1024">
      <c r="A1024" t="inlineStr">
        <is>
          <t>District</t>
        </is>
      </c>
      <c r="B1024" t="inlineStr">
        <is>
          <t>AF0914</t>
        </is>
      </c>
      <c r="C1024" t="inlineStr">
        <is>
          <t>Guzargah-e-Nur</t>
        </is>
      </c>
      <c r="E1024" t="inlineStr">
        <is>
          <t>AF09</t>
        </is>
      </c>
    </row>
    <row r="1025">
      <c r="A1025" t="inlineStr">
        <is>
          <t>District</t>
        </is>
      </c>
      <c r="B1025" t="inlineStr">
        <is>
          <t>AF0915</t>
        </is>
      </c>
      <c r="C1025" t="inlineStr">
        <is>
          <t>Fereng Wa Gharu</t>
        </is>
      </c>
      <c r="E1025" t="inlineStr">
        <is>
          <t>AF09</t>
        </is>
      </c>
    </row>
    <row r="1026">
      <c r="A1026" t="inlineStr">
        <is>
          <t>District</t>
        </is>
      </c>
      <c r="B1026" t="inlineStr">
        <is>
          <t>AF1001</t>
        </is>
      </c>
      <c r="C1026" t="inlineStr">
        <is>
          <t>Bamyan</t>
        </is>
      </c>
      <c r="E1026" t="inlineStr">
        <is>
          <t>AF10</t>
        </is>
      </c>
    </row>
    <row r="1027">
      <c r="A1027" t="inlineStr">
        <is>
          <t>District</t>
        </is>
      </c>
      <c r="B1027" t="inlineStr">
        <is>
          <t>AF1002</t>
        </is>
      </c>
      <c r="C1027" t="inlineStr">
        <is>
          <t>Shibar</t>
        </is>
      </c>
      <c r="E1027" t="inlineStr">
        <is>
          <t>AF10</t>
        </is>
      </c>
    </row>
    <row r="1028">
      <c r="A1028" t="inlineStr">
        <is>
          <t>District</t>
        </is>
      </c>
      <c r="B1028" t="inlineStr">
        <is>
          <t>AF1003</t>
        </is>
      </c>
      <c r="C1028" t="inlineStr">
        <is>
          <t>Sayghan</t>
        </is>
      </c>
      <c r="E1028" t="inlineStr">
        <is>
          <t>AF10</t>
        </is>
      </c>
    </row>
    <row r="1029">
      <c r="A1029" t="inlineStr">
        <is>
          <t>District</t>
        </is>
      </c>
      <c r="B1029" t="inlineStr">
        <is>
          <t>AF1004</t>
        </is>
      </c>
      <c r="C1029" t="inlineStr">
        <is>
          <t>Kahmard</t>
        </is>
      </c>
      <c r="E1029" t="inlineStr">
        <is>
          <t>AF10</t>
        </is>
      </c>
    </row>
    <row r="1030">
      <c r="A1030" t="inlineStr">
        <is>
          <t>District</t>
        </is>
      </c>
      <c r="B1030" t="inlineStr">
        <is>
          <t>AF1005</t>
        </is>
      </c>
      <c r="C1030" t="inlineStr">
        <is>
          <t>Yakawlang</t>
        </is>
      </c>
      <c r="E1030" t="inlineStr">
        <is>
          <t>AF10</t>
        </is>
      </c>
    </row>
    <row r="1031">
      <c r="A1031" t="inlineStr">
        <is>
          <t>District</t>
        </is>
      </c>
      <c r="B1031" t="inlineStr">
        <is>
          <t>AF1006</t>
        </is>
      </c>
      <c r="C1031" t="inlineStr">
        <is>
          <t>Panjab</t>
        </is>
      </c>
      <c r="E1031" t="inlineStr">
        <is>
          <t>AF10</t>
        </is>
      </c>
    </row>
    <row r="1032">
      <c r="A1032" t="inlineStr">
        <is>
          <t>District</t>
        </is>
      </c>
      <c r="B1032" t="inlineStr">
        <is>
          <t>AF1007</t>
        </is>
      </c>
      <c r="C1032" t="inlineStr">
        <is>
          <t>Waras</t>
        </is>
      </c>
      <c r="E1032" t="inlineStr">
        <is>
          <t>AF10</t>
        </is>
      </c>
    </row>
    <row r="1033">
      <c r="A1033" t="inlineStr">
        <is>
          <t>District</t>
        </is>
      </c>
      <c r="B1033" t="inlineStr">
        <is>
          <t>AF1101</t>
        </is>
      </c>
      <c r="C1033" t="inlineStr">
        <is>
          <t>Ghazni</t>
        </is>
      </c>
      <c r="E1033" t="inlineStr">
        <is>
          <t>AF11</t>
        </is>
      </c>
    </row>
    <row r="1034">
      <c r="A1034" t="inlineStr">
        <is>
          <t>District</t>
        </is>
      </c>
      <c r="B1034" t="inlineStr">
        <is>
          <t>AF1102</t>
        </is>
      </c>
      <c r="C1034" t="inlineStr">
        <is>
          <t>Wal-e-Muhammad-e-Shahid</t>
        </is>
      </c>
      <c r="E1034" t="inlineStr">
        <is>
          <t>AF11</t>
        </is>
      </c>
    </row>
    <row r="1035">
      <c r="A1035" t="inlineStr">
        <is>
          <t>District</t>
        </is>
      </c>
      <c r="B1035" t="inlineStr">
        <is>
          <t>AF1103</t>
        </is>
      </c>
      <c r="C1035" t="inlineStr">
        <is>
          <t>Khwaja Umari</t>
        </is>
      </c>
      <c r="E1035" t="inlineStr">
        <is>
          <t>AF11</t>
        </is>
      </c>
    </row>
    <row r="1036">
      <c r="A1036" t="inlineStr">
        <is>
          <t>District</t>
        </is>
      </c>
      <c r="B1036" t="inlineStr">
        <is>
          <t>AF1104</t>
        </is>
      </c>
      <c r="C1036" t="inlineStr">
        <is>
          <t>Waghaz</t>
        </is>
      </c>
      <c r="E1036" t="inlineStr">
        <is>
          <t>AF11</t>
        </is>
      </c>
    </row>
    <row r="1037">
      <c r="A1037" t="inlineStr">
        <is>
          <t>District</t>
        </is>
      </c>
      <c r="B1037" t="inlineStr">
        <is>
          <t>AF1105</t>
        </is>
      </c>
      <c r="C1037" t="inlineStr">
        <is>
          <t>Deh Yak</t>
        </is>
      </c>
      <c r="E1037" t="inlineStr">
        <is>
          <t>AF11</t>
        </is>
      </c>
    </row>
    <row r="1038">
      <c r="A1038" t="inlineStr">
        <is>
          <t>District</t>
        </is>
      </c>
      <c r="B1038" t="inlineStr">
        <is>
          <t>AF1106</t>
        </is>
      </c>
      <c r="C1038" t="inlineStr">
        <is>
          <t>Jaghatu</t>
        </is>
      </c>
      <c r="E1038" t="inlineStr">
        <is>
          <t>AF11</t>
        </is>
      </c>
    </row>
    <row r="1039">
      <c r="A1039" t="inlineStr">
        <is>
          <t>District</t>
        </is>
      </c>
      <c r="B1039" t="inlineStr">
        <is>
          <t>AF1107</t>
        </is>
      </c>
      <c r="C1039" t="inlineStr">
        <is>
          <t>Andar</t>
        </is>
      </c>
      <c r="E1039" t="inlineStr">
        <is>
          <t>AF11</t>
        </is>
      </c>
    </row>
    <row r="1040">
      <c r="A1040" t="inlineStr">
        <is>
          <t>District</t>
        </is>
      </c>
      <c r="B1040" t="inlineStr">
        <is>
          <t>AF1108</t>
        </is>
      </c>
      <c r="C1040" t="inlineStr">
        <is>
          <t>Zanakhan</t>
        </is>
      </c>
      <c r="E1040" t="inlineStr">
        <is>
          <t>AF11</t>
        </is>
      </c>
    </row>
    <row r="1041">
      <c r="A1041" t="inlineStr">
        <is>
          <t>District</t>
        </is>
      </c>
      <c r="B1041" t="inlineStr">
        <is>
          <t>AF1109</t>
        </is>
      </c>
      <c r="C1041" t="inlineStr">
        <is>
          <t>Rashidan</t>
        </is>
      </c>
      <c r="E1041" t="inlineStr">
        <is>
          <t>AF11</t>
        </is>
      </c>
    </row>
    <row r="1042">
      <c r="A1042" t="inlineStr">
        <is>
          <t>District</t>
        </is>
      </c>
      <c r="B1042" t="inlineStr">
        <is>
          <t>AF1110</t>
        </is>
      </c>
      <c r="C1042" t="inlineStr">
        <is>
          <t>Nawur</t>
        </is>
      </c>
      <c r="E1042" t="inlineStr">
        <is>
          <t>AF11</t>
        </is>
      </c>
    </row>
    <row r="1043">
      <c r="A1043" t="inlineStr">
        <is>
          <t>District</t>
        </is>
      </c>
      <c r="B1043" t="inlineStr">
        <is>
          <t>AF1111</t>
        </is>
      </c>
      <c r="C1043" t="inlineStr">
        <is>
          <t>Qara Bagh</t>
        </is>
      </c>
      <c r="E1043" t="inlineStr">
        <is>
          <t>AF11</t>
        </is>
      </c>
    </row>
    <row r="1044">
      <c r="A1044" t="inlineStr">
        <is>
          <t>District</t>
        </is>
      </c>
      <c r="B1044" t="inlineStr">
        <is>
          <t>AF1112</t>
        </is>
      </c>
      <c r="C1044" t="inlineStr">
        <is>
          <t>Giro</t>
        </is>
      </c>
      <c r="E1044" t="inlineStr">
        <is>
          <t>AF11</t>
        </is>
      </c>
    </row>
    <row r="1045">
      <c r="A1045" t="inlineStr">
        <is>
          <t>District</t>
        </is>
      </c>
      <c r="B1045" t="inlineStr">
        <is>
          <t>AF1113</t>
        </is>
      </c>
      <c r="C1045" t="inlineStr">
        <is>
          <t>Ab Band</t>
        </is>
      </c>
      <c r="E1045" t="inlineStr">
        <is>
          <t>AF11</t>
        </is>
      </c>
    </row>
    <row r="1046">
      <c r="A1046" t="inlineStr">
        <is>
          <t>District</t>
        </is>
      </c>
      <c r="B1046" t="inlineStr">
        <is>
          <t>AF1114</t>
        </is>
      </c>
      <c r="C1046" t="inlineStr">
        <is>
          <t>Jaghuri</t>
        </is>
      </c>
      <c r="E1046" t="inlineStr">
        <is>
          <t>AF11</t>
        </is>
      </c>
    </row>
    <row r="1047">
      <c r="A1047" t="inlineStr">
        <is>
          <t>District</t>
        </is>
      </c>
      <c r="B1047" t="inlineStr">
        <is>
          <t>AF1115</t>
        </is>
      </c>
      <c r="C1047" t="inlineStr">
        <is>
          <t>Muqur</t>
        </is>
      </c>
      <c r="E1047" t="inlineStr">
        <is>
          <t>AF11</t>
        </is>
      </c>
    </row>
    <row r="1048">
      <c r="A1048" t="inlineStr">
        <is>
          <t>District</t>
        </is>
      </c>
      <c r="B1048" t="inlineStr">
        <is>
          <t>AF1116</t>
        </is>
      </c>
      <c r="C1048" t="inlineStr">
        <is>
          <t>Malistan</t>
        </is>
      </c>
      <c r="E1048" t="inlineStr">
        <is>
          <t>AF11</t>
        </is>
      </c>
    </row>
    <row r="1049">
      <c r="A1049" t="inlineStr">
        <is>
          <t>District</t>
        </is>
      </c>
      <c r="B1049" t="inlineStr">
        <is>
          <t>AF1117</t>
        </is>
      </c>
      <c r="C1049" t="inlineStr">
        <is>
          <t>Gelan</t>
        </is>
      </c>
      <c r="E1049" t="inlineStr">
        <is>
          <t>AF11</t>
        </is>
      </c>
    </row>
    <row r="1050">
      <c r="A1050" t="inlineStr">
        <is>
          <t>District</t>
        </is>
      </c>
      <c r="B1050" t="inlineStr">
        <is>
          <t>AF1118</t>
        </is>
      </c>
      <c r="C1050" t="inlineStr">
        <is>
          <t>Ajristan</t>
        </is>
      </c>
      <c r="E1050" t="inlineStr">
        <is>
          <t>AF11</t>
        </is>
      </c>
    </row>
    <row r="1051">
      <c r="A1051" t="inlineStr">
        <is>
          <t>District</t>
        </is>
      </c>
      <c r="B1051" t="inlineStr">
        <is>
          <t>AF1119</t>
        </is>
      </c>
      <c r="C1051" t="inlineStr">
        <is>
          <t>Nawa</t>
        </is>
      </c>
      <c r="E1051" t="inlineStr">
        <is>
          <t>AF11</t>
        </is>
      </c>
    </row>
    <row r="1052">
      <c r="A1052" t="inlineStr">
        <is>
          <t>District</t>
        </is>
      </c>
      <c r="B1052" t="inlineStr">
        <is>
          <t>AF1201</t>
        </is>
      </c>
      <c r="C1052" t="inlineStr">
        <is>
          <t>Sharan</t>
        </is>
      </c>
      <c r="E1052" t="inlineStr">
        <is>
          <t>AF12</t>
        </is>
      </c>
    </row>
    <row r="1053">
      <c r="A1053" t="inlineStr">
        <is>
          <t>District</t>
        </is>
      </c>
      <c r="B1053" t="inlineStr">
        <is>
          <t>AF1202</t>
        </is>
      </c>
      <c r="C1053" t="inlineStr">
        <is>
          <t>Mata Khan</t>
        </is>
      </c>
      <c r="E1053" t="inlineStr">
        <is>
          <t>AF12</t>
        </is>
      </c>
    </row>
    <row r="1054">
      <c r="A1054" t="inlineStr">
        <is>
          <t>District</t>
        </is>
      </c>
      <c r="B1054" t="inlineStr">
        <is>
          <t>AF1203</t>
        </is>
      </c>
      <c r="C1054" t="inlineStr">
        <is>
          <t>Yosuf Khel</t>
        </is>
      </c>
      <c r="E1054" t="inlineStr">
        <is>
          <t>AF12</t>
        </is>
      </c>
    </row>
    <row r="1055">
      <c r="A1055" t="inlineStr">
        <is>
          <t>District</t>
        </is>
      </c>
      <c r="B1055" t="inlineStr">
        <is>
          <t>AF1204</t>
        </is>
      </c>
      <c r="C1055" t="inlineStr">
        <is>
          <t>Yahya Khel</t>
        </is>
      </c>
      <c r="E1055" t="inlineStr">
        <is>
          <t>AF12</t>
        </is>
      </c>
    </row>
    <row r="1056">
      <c r="A1056" t="inlineStr">
        <is>
          <t>District</t>
        </is>
      </c>
      <c r="B1056" t="inlineStr">
        <is>
          <t>AF1205</t>
        </is>
      </c>
      <c r="C1056" t="inlineStr">
        <is>
          <t>Sar Rawzah</t>
        </is>
      </c>
      <c r="E1056" t="inlineStr">
        <is>
          <t>AF12</t>
        </is>
      </c>
    </row>
    <row r="1057">
      <c r="A1057" t="inlineStr">
        <is>
          <t>District</t>
        </is>
      </c>
      <c r="B1057" t="inlineStr">
        <is>
          <t>AF1206</t>
        </is>
      </c>
      <c r="C1057" t="inlineStr">
        <is>
          <t>Omna</t>
        </is>
      </c>
      <c r="E1057" t="inlineStr">
        <is>
          <t>AF12</t>
        </is>
      </c>
    </row>
    <row r="1058">
      <c r="A1058" t="inlineStr">
        <is>
          <t>District</t>
        </is>
      </c>
      <c r="B1058" t="inlineStr">
        <is>
          <t>AF1207</t>
        </is>
      </c>
      <c r="C1058" t="inlineStr">
        <is>
          <t>Zarghun Shahr</t>
        </is>
      </c>
      <c r="E1058" t="inlineStr">
        <is>
          <t>AF12</t>
        </is>
      </c>
    </row>
    <row r="1059">
      <c r="A1059" t="inlineStr">
        <is>
          <t>District</t>
        </is>
      </c>
      <c r="B1059" t="inlineStr">
        <is>
          <t>AF1208</t>
        </is>
      </c>
      <c r="C1059" t="inlineStr">
        <is>
          <t>Gomal</t>
        </is>
      </c>
      <c r="E1059" t="inlineStr">
        <is>
          <t>AF12</t>
        </is>
      </c>
    </row>
    <row r="1060">
      <c r="A1060" t="inlineStr">
        <is>
          <t>District</t>
        </is>
      </c>
      <c r="B1060" t="inlineStr">
        <is>
          <t>AF1209</t>
        </is>
      </c>
      <c r="C1060" t="inlineStr">
        <is>
          <t>Jani Khel</t>
        </is>
      </c>
      <c r="E1060" t="inlineStr">
        <is>
          <t>AF12</t>
        </is>
      </c>
    </row>
    <row r="1061">
      <c r="A1061" t="inlineStr">
        <is>
          <t>District</t>
        </is>
      </c>
      <c r="B1061" t="inlineStr">
        <is>
          <t>AF1210</t>
        </is>
      </c>
      <c r="C1061" t="inlineStr">
        <is>
          <t>Surobi</t>
        </is>
      </c>
      <c r="E1061" t="inlineStr">
        <is>
          <t>AF12</t>
        </is>
      </c>
    </row>
    <row r="1062">
      <c r="A1062" t="inlineStr">
        <is>
          <t>District</t>
        </is>
      </c>
      <c r="B1062" t="inlineStr">
        <is>
          <t>AF1211</t>
        </is>
      </c>
      <c r="C1062" t="inlineStr">
        <is>
          <t>Urgun</t>
        </is>
      </c>
      <c r="E1062" t="inlineStr">
        <is>
          <t>AF12</t>
        </is>
      </c>
    </row>
    <row r="1063">
      <c r="A1063" t="inlineStr">
        <is>
          <t>District</t>
        </is>
      </c>
      <c r="B1063" t="inlineStr">
        <is>
          <t>AF1212</t>
        </is>
      </c>
      <c r="C1063" t="inlineStr">
        <is>
          <t>Ziruk</t>
        </is>
      </c>
      <c r="E1063" t="inlineStr">
        <is>
          <t>AF12</t>
        </is>
      </c>
    </row>
    <row r="1064">
      <c r="A1064" t="inlineStr">
        <is>
          <t>District</t>
        </is>
      </c>
      <c r="B1064" t="inlineStr">
        <is>
          <t>AF1213</t>
        </is>
      </c>
      <c r="C1064" t="inlineStr">
        <is>
          <t>Nika</t>
        </is>
      </c>
      <c r="E1064" t="inlineStr">
        <is>
          <t>AF12</t>
        </is>
      </c>
    </row>
    <row r="1065">
      <c r="A1065" t="inlineStr">
        <is>
          <t>District</t>
        </is>
      </c>
      <c r="B1065" t="inlineStr">
        <is>
          <t>AF1214</t>
        </is>
      </c>
      <c r="C1065" t="inlineStr">
        <is>
          <t>Barmal</t>
        </is>
      </c>
      <c r="E1065" t="inlineStr">
        <is>
          <t>AF12</t>
        </is>
      </c>
    </row>
    <row r="1066">
      <c r="A1066" t="inlineStr">
        <is>
          <t>District</t>
        </is>
      </c>
      <c r="B1066" t="inlineStr">
        <is>
          <t>AF1215</t>
        </is>
      </c>
      <c r="C1066" t="inlineStr">
        <is>
          <t>Giyan</t>
        </is>
      </c>
      <c r="E1066" t="inlineStr">
        <is>
          <t>AF12</t>
        </is>
      </c>
    </row>
    <row r="1067">
      <c r="A1067" t="inlineStr">
        <is>
          <t>District</t>
        </is>
      </c>
      <c r="B1067" t="inlineStr">
        <is>
          <t>AF1216</t>
        </is>
      </c>
      <c r="C1067" t="inlineStr">
        <is>
          <t>Dila</t>
        </is>
      </c>
      <c r="E1067" t="inlineStr">
        <is>
          <t>AF12</t>
        </is>
      </c>
    </row>
    <row r="1068">
      <c r="A1068" t="inlineStr">
        <is>
          <t>District</t>
        </is>
      </c>
      <c r="B1068" t="inlineStr">
        <is>
          <t>AF1217</t>
        </is>
      </c>
      <c r="C1068" t="inlineStr">
        <is>
          <t>Wazakhah</t>
        </is>
      </c>
      <c r="E1068" t="inlineStr">
        <is>
          <t>AF12</t>
        </is>
      </c>
    </row>
    <row r="1069">
      <c r="A1069" t="inlineStr">
        <is>
          <t>District</t>
        </is>
      </c>
      <c r="B1069" t="inlineStr">
        <is>
          <t>AF1218</t>
        </is>
      </c>
      <c r="C1069" t="inlineStr">
        <is>
          <t>Wormamay</t>
        </is>
      </c>
      <c r="E1069" t="inlineStr">
        <is>
          <t>AF12</t>
        </is>
      </c>
    </row>
    <row r="1070">
      <c r="A1070" t="inlineStr">
        <is>
          <t>District</t>
        </is>
      </c>
      <c r="B1070" t="inlineStr">
        <is>
          <t>AF1219</t>
        </is>
      </c>
      <c r="C1070" t="inlineStr">
        <is>
          <t>Turwo</t>
        </is>
      </c>
      <c r="E1070" t="inlineStr">
        <is>
          <t>AF12</t>
        </is>
      </c>
    </row>
    <row r="1071">
      <c r="A1071" t="inlineStr">
        <is>
          <t>District</t>
        </is>
      </c>
      <c r="B1071" t="inlineStr">
        <is>
          <t>AF1301</t>
        </is>
      </c>
      <c r="C1071" t="inlineStr">
        <is>
          <t>Gardez</t>
        </is>
      </c>
      <c r="E1071" t="inlineStr">
        <is>
          <t>AF13</t>
        </is>
      </c>
    </row>
    <row r="1072">
      <c r="A1072" t="inlineStr">
        <is>
          <t>District</t>
        </is>
      </c>
      <c r="B1072" t="inlineStr">
        <is>
          <t>AF1302</t>
        </is>
      </c>
      <c r="C1072" t="inlineStr">
        <is>
          <t>Ahmadaba</t>
        </is>
      </c>
      <c r="E1072" t="inlineStr">
        <is>
          <t>AF13</t>
        </is>
      </c>
    </row>
    <row r="1073">
      <c r="A1073" t="inlineStr">
        <is>
          <t>District</t>
        </is>
      </c>
      <c r="B1073" t="inlineStr">
        <is>
          <t>AF1303</t>
        </is>
      </c>
      <c r="C1073" t="inlineStr">
        <is>
          <t>Zurmat</t>
        </is>
      </c>
      <c r="E1073" t="inlineStr">
        <is>
          <t>AF13</t>
        </is>
      </c>
    </row>
    <row r="1074">
      <c r="A1074" t="inlineStr">
        <is>
          <t>District</t>
        </is>
      </c>
      <c r="B1074" t="inlineStr">
        <is>
          <t>AF1304</t>
        </is>
      </c>
      <c r="C1074" t="inlineStr">
        <is>
          <t>Shawak</t>
        </is>
      </c>
      <c r="E1074" t="inlineStr">
        <is>
          <t>AF13</t>
        </is>
      </c>
    </row>
    <row r="1075">
      <c r="A1075" t="inlineStr">
        <is>
          <t>District</t>
        </is>
      </c>
      <c r="B1075" t="inlineStr">
        <is>
          <t>AF1305</t>
        </is>
      </c>
      <c r="C1075" t="inlineStr">
        <is>
          <t>Zadran</t>
        </is>
      </c>
      <c r="E1075" t="inlineStr">
        <is>
          <t>AF13</t>
        </is>
      </c>
    </row>
    <row r="1076">
      <c r="A1076" t="inlineStr">
        <is>
          <t>District</t>
        </is>
      </c>
      <c r="B1076" t="inlineStr">
        <is>
          <t>AF1306</t>
        </is>
      </c>
      <c r="C1076" t="inlineStr">
        <is>
          <t>Sayed Karam</t>
        </is>
      </c>
      <c r="E1076" t="inlineStr">
        <is>
          <t>AF13</t>
        </is>
      </c>
    </row>
    <row r="1077">
      <c r="A1077" t="inlineStr">
        <is>
          <t>District</t>
        </is>
      </c>
      <c r="B1077" t="inlineStr">
        <is>
          <t>AF1307</t>
        </is>
      </c>
      <c r="C1077" t="inlineStr">
        <is>
          <t>Jaji</t>
        </is>
      </c>
      <c r="E1077" t="inlineStr">
        <is>
          <t>AF13</t>
        </is>
      </c>
    </row>
    <row r="1078">
      <c r="A1078" t="inlineStr">
        <is>
          <t>District</t>
        </is>
      </c>
      <c r="B1078" t="inlineStr">
        <is>
          <t>AF1308</t>
        </is>
      </c>
      <c r="C1078" t="inlineStr">
        <is>
          <t>Lija Ahmad Khel</t>
        </is>
      </c>
      <c r="E1078" t="inlineStr">
        <is>
          <t>AF13</t>
        </is>
      </c>
    </row>
    <row r="1079">
      <c r="A1079" t="inlineStr">
        <is>
          <t>District</t>
        </is>
      </c>
      <c r="B1079" t="inlineStr">
        <is>
          <t>AF1309</t>
        </is>
      </c>
      <c r="C1079" t="inlineStr">
        <is>
          <t>Jani Khel</t>
        </is>
      </c>
      <c r="E1079" t="inlineStr">
        <is>
          <t>AF13</t>
        </is>
      </c>
    </row>
    <row r="1080">
      <c r="A1080" t="inlineStr">
        <is>
          <t>District</t>
        </is>
      </c>
      <c r="B1080" t="inlineStr">
        <is>
          <t>AF1310</t>
        </is>
      </c>
      <c r="C1080" t="inlineStr">
        <is>
          <t>Chamkani</t>
        </is>
      </c>
      <c r="E1080" t="inlineStr">
        <is>
          <t>AF13</t>
        </is>
      </c>
    </row>
    <row r="1081">
      <c r="A1081" t="inlineStr">
        <is>
          <t>District</t>
        </is>
      </c>
      <c r="B1081" t="inlineStr">
        <is>
          <t>AF1311</t>
        </is>
      </c>
      <c r="C1081" t="inlineStr">
        <is>
          <t>Dand Wa Patan</t>
        </is>
      </c>
      <c r="E1081" t="inlineStr">
        <is>
          <t>AF13</t>
        </is>
      </c>
    </row>
    <row r="1082">
      <c r="A1082" t="inlineStr">
        <is>
          <t>District</t>
        </is>
      </c>
      <c r="B1082" t="inlineStr">
        <is>
          <t>AF1401</t>
        </is>
      </c>
      <c r="C1082" t="inlineStr">
        <is>
          <t>Matun</t>
        </is>
      </c>
      <c r="E1082" t="inlineStr">
        <is>
          <t>AF14</t>
        </is>
      </c>
    </row>
    <row r="1083">
      <c r="A1083" t="inlineStr">
        <is>
          <t>District</t>
        </is>
      </c>
      <c r="B1083" t="inlineStr">
        <is>
          <t>AF1402</t>
        </is>
      </c>
      <c r="C1083" t="inlineStr">
        <is>
          <t>Mandozayi</t>
        </is>
      </c>
      <c r="E1083" t="inlineStr">
        <is>
          <t>AF14</t>
        </is>
      </c>
    </row>
    <row r="1084">
      <c r="A1084" t="inlineStr">
        <is>
          <t>District</t>
        </is>
      </c>
      <c r="B1084" t="inlineStr">
        <is>
          <t>AF1403</t>
        </is>
      </c>
      <c r="C1084" t="inlineStr">
        <is>
          <t>Gurbuz</t>
        </is>
      </c>
      <c r="E1084" t="inlineStr">
        <is>
          <t>AF14</t>
        </is>
      </c>
    </row>
    <row r="1085">
      <c r="A1085" t="inlineStr">
        <is>
          <t>District</t>
        </is>
      </c>
      <c r="B1085" t="inlineStr">
        <is>
          <t>AF1404</t>
        </is>
      </c>
      <c r="C1085" t="inlineStr">
        <is>
          <t>Tani</t>
        </is>
      </c>
      <c r="E1085" t="inlineStr">
        <is>
          <t>AF14</t>
        </is>
      </c>
    </row>
    <row r="1086">
      <c r="A1086" t="inlineStr">
        <is>
          <t>District</t>
        </is>
      </c>
      <c r="B1086" t="inlineStr">
        <is>
          <t>AF1405</t>
        </is>
      </c>
      <c r="C1086" t="inlineStr">
        <is>
          <t>Musa Khel</t>
        </is>
      </c>
      <c r="E1086" t="inlineStr">
        <is>
          <t>AF14</t>
        </is>
      </c>
    </row>
    <row r="1087">
      <c r="A1087" t="inlineStr">
        <is>
          <t>District</t>
        </is>
      </c>
      <c r="B1087" t="inlineStr">
        <is>
          <t>AF1406</t>
        </is>
      </c>
      <c r="C1087" t="inlineStr">
        <is>
          <t>Nadir Shah Kot</t>
        </is>
      </c>
      <c r="E1087" t="inlineStr">
        <is>
          <t>AF14</t>
        </is>
      </c>
    </row>
    <row r="1088">
      <c r="A1088" t="inlineStr">
        <is>
          <t>District</t>
        </is>
      </c>
      <c r="B1088" t="inlineStr">
        <is>
          <t>AF1407</t>
        </is>
      </c>
      <c r="C1088" t="inlineStr">
        <is>
          <t>Sabari</t>
        </is>
      </c>
      <c r="E1088" t="inlineStr">
        <is>
          <t>AF14</t>
        </is>
      </c>
    </row>
    <row r="1089">
      <c r="A1089" t="inlineStr">
        <is>
          <t>District</t>
        </is>
      </c>
      <c r="B1089" t="inlineStr">
        <is>
          <t>AF1408</t>
        </is>
      </c>
      <c r="C1089" t="inlineStr">
        <is>
          <t>Terezayi</t>
        </is>
      </c>
      <c r="E1089" t="inlineStr">
        <is>
          <t>AF14</t>
        </is>
      </c>
    </row>
    <row r="1090">
      <c r="A1090" t="inlineStr">
        <is>
          <t>District</t>
        </is>
      </c>
      <c r="B1090" t="inlineStr">
        <is>
          <t>AF1409</t>
        </is>
      </c>
      <c r="C1090" t="inlineStr">
        <is>
          <t>Bak</t>
        </is>
      </c>
      <c r="E1090" t="inlineStr">
        <is>
          <t>AF14</t>
        </is>
      </c>
    </row>
    <row r="1091">
      <c r="A1091" t="inlineStr">
        <is>
          <t>District</t>
        </is>
      </c>
      <c r="B1091" t="inlineStr">
        <is>
          <t>AF1410</t>
        </is>
      </c>
      <c r="C1091" t="inlineStr">
        <is>
          <t>Qalandar</t>
        </is>
      </c>
      <c r="E1091" t="inlineStr">
        <is>
          <t>AF14</t>
        </is>
      </c>
    </row>
    <row r="1092">
      <c r="A1092" t="inlineStr">
        <is>
          <t>District</t>
        </is>
      </c>
      <c r="B1092" t="inlineStr">
        <is>
          <t>AF1411</t>
        </is>
      </c>
      <c r="C1092" t="inlineStr">
        <is>
          <t>Spera</t>
        </is>
      </c>
      <c r="E1092" t="inlineStr">
        <is>
          <t>AF14</t>
        </is>
      </c>
    </row>
    <row r="1093">
      <c r="A1093" t="inlineStr">
        <is>
          <t>District</t>
        </is>
      </c>
      <c r="B1093" t="inlineStr">
        <is>
          <t>AF1412</t>
        </is>
      </c>
      <c r="C1093" t="inlineStr">
        <is>
          <t>Shamal</t>
        </is>
      </c>
      <c r="E1093" t="inlineStr">
        <is>
          <t>AF14</t>
        </is>
      </c>
    </row>
    <row r="1094">
      <c r="A1094" t="inlineStr">
        <is>
          <t>District</t>
        </is>
      </c>
      <c r="B1094" t="inlineStr">
        <is>
          <t>AF1413</t>
        </is>
      </c>
      <c r="C1094" t="inlineStr">
        <is>
          <t>Jaji Maydan</t>
        </is>
      </c>
      <c r="E1094" t="inlineStr">
        <is>
          <t>AF14</t>
        </is>
      </c>
    </row>
    <row r="1095">
      <c r="A1095" t="inlineStr">
        <is>
          <t>District</t>
        </is>
      </c>
      <c r="B1095" t="inlineStr">
        <is>
          <t>AF1501</t>
        </is>
      </c>
      <c r="C1095" t="inlineStr">
        <is>
          <t>Asad Abad</t>
        </is>
      </c>
      <c r="E1095" t="inlineStr">
        <is>
          <t>AF15</t>
        </is>
      </c>
    </row>
    <row r="1096">
      <c r="A1096" t="inlineStr">
        <is>
          <t>District</t>
        </is>
      </c>
      <c r="B1096" t="inlineStr">
        <is>
          <t>AF1502</t>
        </is>
      </c>
      <c r="C1096" t="inlineStr">
        <is>
          <t>Marawara</t>
        </is>
      </c>
      <c r="E1096" t="inlineStr">
        <is>
          <t>AF15</t>
        </is>
      </c>
    </row>
    <row r="1097">
      <c r="A1097" t="inlineStr">
        <is>
          <t>District</t>
        </is>
      </c>
      <c r="B1097" t="inlineStr">
        <is>
          <t>AF1503</t>
        </is>
      </c>
      <c r="C1097" t="inlineStr">
        <is>
          <t>Watapur</t>
        </is>
      </c>
      <c r="E1097" t="inlineStr">
        <is>
          <t>AF15</t>
        </is>
      </c>
    </row>
    <row r="1098">
      <c r="A1098" t="inlineStr">
        <is>
          <t>District</t>
        </is>
      </c>
      <c r="B1098" t="inlineStr">
        <is>
          <t>AF1504</t>
        </is>
      </c>
      <c r="C1098" t="inlineStr">
        <is>
          <t>Narang</t>
        </is>
      </c>
      <c r="E1098" t="inlineStr">
        <is>
          <t>AF15</t>
        </is>
      </c>
    </row>
    <row r="1099">
      <c r="A1099" t="inlineStr">
        <is>
          <t>District</t>
        </is>
      </c>
      <c r="B1099" t="inlineStr">
        <is>
          <t>AF1505</t>
        </is>
      </c>
      <c r="C1099" t="inlineStr">
        <is>
          <t>Sar Kani</t>
        </is>
      </c>
      <c r="E1099" t="inlineStr">
        <is>
          <t>AF15</t>
        </is>
      </c>
    </row>
    <row r="1100">
      <c r="A1100" t="inlineStr">
        <is>
          <t>District</t>
        </is>
      </c>
      <c r="B1100" t="inlineStr">
        <is>
          <t>AF1506</t>
        </is>
      </c>
      <c r="C1100" t="inlineStr">
        <is>
          <t>Shigal</t>
        </is>
      </c>
      <c r="E1100" t="inlineStr">
        <is>
          <t>AF15</t>
        </is>
      </c>
    </row>
    <row r="1101">
      <c r="A1101" t="inlineStr">
        <is>
          <t>District</t>
        </is>
      </c>
      <c r="B1101" t="inlineStr">
        <is>
          <t>AF1507</t>
        </is>
      </c>
      <c r="C1101" t="inlineStr">
        <is>
          <t>Dara-e-Pech</t>
        </is>
      </c>
      <c r="E1101" t="inlineStr">
        <is>
          <t>AF15</t>
        </is>
      </c>
    </row>
    <row r="1102">
      <c r="A1102" t="inlineStr">
        <is>
          <t>District</t>
        </is>
      </c>
      <c r="B1102" t="inlineStr">
        <is>
          <t>AF1508</t>
        </is>
      </c>
      <c r="C1102" t="inlineStr">
        <is>
          <t>Bar Kunar</t>
        </is>
      </c>
      <c r="E1102" t="inlineStr">
        <is>
          <t>AF15</t>
        </is>
      </c>
    </row>
    <row r="1103">
      <c r="A1103" t="inlineStr">
        <is>
          <t>District</t>
        </is>
      </c>
      <c r="B1103" t="inlineStr">
        <is>
          <t>AF1509</t>
        </is>
      </c>
      <c r="C1103" t="inlineStr">
        <is>
          <t>Chawkay</t>
        </is>
      </c>
      <c r="E1103" t="inlineStr">
        <is>
          <t>AF15</t>
        </is>
      </c>
    </row>
    <row r="1104">
      <c r="A1104" t="inlineStr">
        <is>
          <t>District</t>
        </is>
      </c>
      <c r="B1104" t="inlineStr">
        <is>
          <t>AF1510</t>
        </is>
      </c>
      <c r="C1104" t="inlineStr">
        <is>
          <t>Khas Kunar</t>
        </is>
      </c>
      <c r="E1104" t="inlineStr">
        <is>
          <t>AF15</t>
        </is>
      </c>
    </row>
    <row r="1105">
      <c r="A1105" t="inlineStr">
        <is>
          <t>District</t>
        </is>
      </c>
      <c r="B1105" t="inlineStr">
        <is>
          <t>AF1511</t>
        </is>
      </c>
      <c r="C1105" t="inlineStr">
        <is>
          <t>Ghazi Abad</t>
        </is>
      </c>
      <c r="E1105" t="inlineStr">
        <is>
          <t>AF15</t>
        </is>
      </c>
    </row>
    <row r="1106">
      <c r="A1106" t="inlineStr">
        <is>
          <t>District</t>
        </is>
      </c>
      <c r="B1106" t="inlineStr">
        <is>
          <t>AF1512</t>
        </is>
      </c>
      <c r="C1106" t="inlineStr">
        <is>
          <t>Dangam</t>
        </is>
      </c>
      <c r="E1106" t="inlineStr">
        <is>
          <t>AF15</t>
        </is>
      </c>
    </row>
    <row r="1107">
      <c r="A1107" t="inlineStr">
        <is>
          <t>District</t>
        </is>
      </c>
      <c r="B1107" t="inlineStr">
        <is>
          <t>AF1513</t>
        </is>
      </c>
      <c r="C1107" t="inlineStr">
        <is>
          <t>Chapa Dara</t>
        </is>
      </c>
      <c r="E1107" t="inlineStr">
        <is>
          <t>AF15</t>
        </is>
      </c>
    </row>
    <row r="1108">
      <c r="A1108" t="inlineStr">
        <is>
          <t>District</t>
        </is>
      </c>
      <c r="B1108" t="inlineStr">
        <is>
          <t>AF1514</t>
        </is>
      </c>
      <c r="C1108" t="inlineStr">
        <is>
          <t>Nurgal</t>
        </is>
      </c>
      <c r="E1108" t="inlineStr">
        <is>
          <t>AF15</t>
        </is>
      </c>
    </row>
    <row r="1109">
      <c r="A1109" t="inlineStr">
        <is>
          <t>District</t>
        </is>
      </c>
      <c r="B1109" t="inlineStr">
        <is>
          <t>AF1515</t>
        </is>
      </c>
      <c r="C1109" t="inlineStr">
        <is>
          <t>Nari</t>
        </is>
      </c>
      <c r="E1109" t="inlineStr">
        <is>
          <t>AF15</t>
        </is>
      </c>
    </row>
    <row r="1110">
      <c r="A1110" t="inlineStr">
        <is>
          <t>District</t>
        </is>
      </c>
      <c r="B1110" t="inlineStr">
        <is>
          <t>AF1601</t>
        </is>
      </c>
      <c r="C1110" t="inlineStr">
        <is>
          <t>Parun</t>
        </is>
      </c>
      <c r="E1110" t="inlineStr">
        <is>
          <t>AF16</t>
        </is>
      </c>
    </row>
    <row r="1111">
      <c r="A1111" t="inlineStr">
        <is>
          <t>District</t>
        </is>
      </c>
      <c r="B1111" t="inlineStr">
        <is>
          <t>AF1602</t>
        </is>
      </c>
      <c r="C1111" t="inlineStr">
        <is>
          <t>Waygal</t>
        </is>
      </c>
      <c r="E1111" t="inlineStr">
        <is>
          <t>AF16</t>
        </is>
      </c>
    </row>
    <row r="1112">
      <c r="A1112" t="inlineStr">
        <is>
          <t>District</t>
        </is>
      </c>
      <c r="B1112" t="inlineStr">
        <is>
          <t>AF1603</t>
        </is>
      </c>
      <c r="C1112" t="inlineStr">
        <is>
          <t>Wama</t>
        </is>
      </c>
      <c r="E1112" t="inlineStr">
        <is>
          <t>AF16</t>
        </is>
      </c>
    </row>
    <row r="1113">
      <c r="A1113" t="inlineStr">
        <is>
          <t>District</t>
        </is>
      </c>
      <c r="B1113" t="inlineStr">
        <is>
          <t>AF1604</t>
        </is>
      </c>
      <c r="C1113" t="inlineStr">
        <is>
          <t>Nurgaram</t>
        </is>
      </c>
      <c r="E1113" t="inlineStr">
        <is>
          <t>AF16</t>
        </is>
      </c>
    </row>
    <row r="1114">
      <c r="A1114" t="inlineStr">
        <is>
          <t>District</t>
        </is>
      </c>
      <c r="B1114" t="inlineStr">
        <is>
          <t>AF1605</t>
        </is>
      </c>
      <c r="C1114" t="inlineStr">
        <is>
          <t>Duab</t>
        </is>
      </c>
      <c r="E1114" t="inlineStr">
        <is>
          <t>AF16</t>
        </is>
      </c>
    </row>
    <row r="1115">
      <c r="A1115" t="inlineStr">
        <is>
          <t>District</t>
        </is>
      </c>
      <c r="B1115" t="inlineStr">
        <is>
          <t>AF1606</t>
        </is>
      </c>
      <c r="C1115" t="inlineStr">
        <is>
          <t>Kamdesh</t>
        </is>
      </c>
      <c r="E1115" t="inlineStr">
        <is>
          <t>AF16</t>
        </is>
      </c>
    </row>
    <row r="1116">
      <c r="A1116" t="inlineStr">
        <is>
          <t>District</t>
        </is>
      </c>
      <c r="B1116" t="inlineStr">
        <is>
          <t>AF1607</t>
        </is>
      </c>
      <c r="C1116" t="inlineStr">
        <is>
          <t>Mandol</t>
        </is>
      </c>
      <c r="E1116" t="inlineStr">
        <is>
          <t>AF16</t>
        </is>
      </c>
    </row>
    <row r="1117">
      <c r="A1117" t="inlineStr">
        <is>
          <t>District</t>
        </is>
      </c>
      <c r="B1117" t="inlineStr">
        <is>
          <t>AF1608</t>
        </is>
      </c>
      <c r="C1117" t="inlineStr">
        <is>
          <t>Barg-e-Matal</t>
        </is>
      </c>
      <c r="E1117" t="inlineStr">
        <is>
          <t>AF16</t>
        </is>
      </c>
    </row>
    <row r="1118">
      <c r="A1118" t="inlineStr">
        <is>
          <t>District</t>
        </is>
      </c>
      <c r="B1118" t="inlineStr">
        <is>
          <t>AF1701</t>
        </is>
      </c>
      <c r="C1118" t="inlineStr">
        <is>
          <t>Fayzabad</t>
        </is>
      </c>
      <c r="E1118" t="inlineStr">
        <is>
          <t>AF17</t>
        </is>
      </c>
    </row>
    <row r="1119">
      <c r="A1119" t="inlineStr">
        <is>
          <t>District</t>
        </is>
      </c>
      <c r="B1119" t="inlineStr">
        <is>
          <t>AF1702</t>
        </is>
      </c>
      <c r="C1119" t="inlineStr">
        <is>
          <t>Argo</t>
        </is>
      </c>
      <c r="E1119" t="inlineStr">
        <is>
          <t>AF17</t>
        </is>
      </c>
    </row>
    <row r="1120">
      <c r="A1120" t="inlineStr">
        <is>
          <t>District</t>
        </is>
      </c>
      <c r="B1120" t="inlineStr">
        <is>
          <t>AF1703</t>
        </is>
      </c>
      <c r="C1120" t="inlineStr">
        <is>
          <t>Arghanj Khwah</t>
        </is>
      </c>
      <c r="E1120" t="inlineStr">
        <is>
          <t>AF17</t>
        </is>
      </c>
    </row>
    <row r="1121">
      <c r="A1121" t="inlineStr">
        <is>
          <t>District</t>
        </is>
      </c>
      <c r="B1121" t="inlineStr">
        <is>
          <t>AF1704</t>
        </is>
      </c>
      <c r="C1121" t="inlineStr">
        <is>
          <t>Yaftal-e-Sufla</t>
        </is>
      </c>
      <c r="E1121" t="inlineStr">
        <is>
          <t>AF17</t>
        </is>
      </c>
    </row>
    <row r="1122">
      <c r="A1122" t="inlineStr">
        <is>
          <t>District</t>
        </is>
      </c>
      <c r="B1122" t="inlineStr">
        <is>
          <t>AF1705</t>
        </is>
      </c>
      <c r="C1122" t="inlineStr">
        <is>
          <t>Khash</t>
        </is>
      </c>
      <c r="E1122" t="inlineStr">
        <is>
          <t>AF17</t>
        </is>
      </c>
    </row>
    <row r="1123">
      <c r="A1123" t="inlineStr">
        <is>
          <t>District</t>
        </is>
      </c>
      <c r="B1123" t="inlineStr">
        <is>
          <t>AF1706</t>
        </is>
      </c>
      <c r="C1123" t="inlineStr">
        <is>
          <t>Baharak</t>
        </is>
      </c>
      <c r="E1123" t="inlineStr">
        <is>
          <t>AF17</t>
        </is>
      </c>
    </row>
    <row r="1124">
      <c r="A1124" t="inlineStr">
        <is>
          <t>District</t>
        </is>
      </c>
      <c r="B1124" t="inlineStr">
        <is>
          <t>AF1707</t>
        </is>
      </c>
      <c r="C1124" t="inlineStr">
        <is>
          <t>Darayem</t>
        </is>
      </c>
      <c r="E1124" t="inlineStr">
        <is>
          <t>AF17</t>
        </is>
      </c>
    </row>
    <row r="1125">
      <c r="A1125" t="inlineStr">
        <is>
          <t>District</t>
        </is>
      </c>
      <c r="B1125" t="inlineStr">
        <is>
          <t>AF1708</t>
        </is>
      </c>
      <c r="C1125" t="inlineStr">
        <is>
          <t>Kohistan</t>
        </is>
      </c>
      <c r="E1125" t="inlineStr">
        <is>
          <t>AF17</t>
        </is>
      </c>
    </row>
    <row r="1126">
      <c r="A1126" t="inlineStr">
        <is>
          <t>District</t>
        </is>
      </c>
      <c r="B1126" t="inlineStr">
        <is>
          <t>AF1709</t>
        </is>
      </c>
      <c r="C1126" t="inlineStr">
        <is>
          <t>Yawan</t>
        </is>
      </c>
      <c r="E1126" t="inlineStr">
        <is>
          <t>AF17</t>
        </is>
      </c>
    </row>
    <row r="1127">
      <c r="A1127" t="inlineStr">
        <is>
          <t>District</t>
        </is>
      </c>
      <c r="B1127" t="inlineStr">
        <is>
          <t>AF1710</t>
        </is>
      </c>
      <c r="C1127" t="inlineStr">
        <is>
          <t>Jorm</t>
        </is>
      </c>
      <c r="E1127" t="inlineStr">
        <is>
          <t>AF17</t>
        </is>
      </c>
    </row>
    <row r="1128">
      <c r="A1128" t="inlineStr">
        <is>
          <t>District</t>
        </is>
      </c>
      <c r="B1128" t="inlineStr">
        <is>
          <t>AF1711</t>
        </is>
      </c>
      <c r="C1128" t="inlineStr">
        <is>
          <t>Teshkan</t>
        </is>
      </c>
      <c r="E1128" t="inlineStr">
        <is>
          <t>AF17</t>
        </is>
      </c>
    </row>
    <row r="1129">
      <c r="A1129" t="inlineStr">
        <is>
          <t>District</t>
        </is>
      </c>
      <c r="B1129" t="inlineStr">
        <is>
          <t>AF1712</t>
        </is>
      </c>
      <c r="C1129" t="inlineStr">
        <is>
          <t>Shuhada</t>
        </is>
      </c>
      <c r="E1129" t="inlineStr">
        <is>
          <t>AF17</t>
        </is>
      </c>
    </row>
    <row r="1130">
      <c r="A1130" t="inlineStr">
        <is>
          <t>District</t>
        </is>
      </c>
      <c r="B1130" t="inlineStr">
        <is>
          <t>AF1713</t>
        </is>
      </c>
      <c r="C1130" t="inlineStr">
        <is>
          <t>Shahr-e-Buzorg</t>
        </is>
      </c>
      <c r="E1130" t="inlineStr">
        <is>
          <t>AF17</t>
        </is>
      </c>
    </row>
    <row r="1131">
      <c r="A1131" t="inlineStr">
        <is>
          <t>District</t>
        </is>
      </c>
      <c r="B1131" t="inlineStr">
        <is>
          <t>AF1714</t>
        </is>
      </c>
      <c r="C1131" t="inlineStr">
        <is>
          <t>Raghestan</t>
        </is>
      </c>
      <c r="E1131" t="inlineStr">
        <is>
          <t>AF17</t>
        </is>
      </c>
    </row>
    <row r="1132">
      <c r="A1132" t="inlineStr">
        <is>
          <t>District</t>
        </is>
      </c>
      <c r="B1132" t="inlineStr">
        <is>
          <t>AF1715</t>
        </is>
      </c>
      <c r="C1132" t="inlineStr">
        <is>
          <t>Keshem</t>
        </is>
      </c>
      <c r="E1132" t="inlineStr">
        <is>
          <t>AF17</t>
        </is>
      </c>
    </row>
    <row r="1133">
      <c r="A1133" t="inlineStr">
        <is>
          <t>District</t>
        </is>
      </c>
      <c r="B1133" t="inlineStr">
        <is>
          <t>AF1716</t>
        </is>
      </c>
      <c r="C1133" t="inlineStr">
        <is>
          <t>Warduj</t>
        </is>
      </c>
      <c r="E1133" t="inlineStr">
        <is>
          <t>AF17</t>
        </is>
      </c>
    </row>
    <row r="1134">
      <c r="A1134" t="inlineStr">
        <is>
          <t>District</t>
        </is>
      </c>
      <c r="B1134" t="inlineStr">
        <is>
          <t>AF1717</t>
        </is>
      </c>
      <c r="C1134" t="inlineStr">
        <is>
          <t>Tagab</t>
        </is>
      </c>
      <c r="E1134" t="inlineStr">
        <is>
          <t>AF17</t>
        </is>
      </c>
    </row>
    <row r="1135">
      <c r="A1135" t="inlineStr">
        <is>
          <t>District</t>
        </is>
      </c>
      <c r="B1135" t="inlineStr">
        <is>
          <t>AF1718</t>
        </is>
      </c>
      <c r="C1135" t="inlineStr">
        <is>
          <t>Yamgan</t>
        </is>
      </c>
      <c r="E1135" t="inlineStr">
        <is>
          <t>AF17</t>
        </is>
      </c>
    </row>
    <row r="1136">
      <c r="A1136" t="inlineStr">
        <is>
          <t>District</t>
        </is>
      </c>
      <c r="B1136" t="inlineStr">
        <is>
          <t>AF1719</t>
        </is>
      </c>
      <c r="C1136" t="inlineStr">
        <is>
          <t>Shighnan</t>
        </is>
      </c>
      <c r="E1136" t="inlineStr">
        <is>
          <t>AF17</t>
        </is>
      </c>
    </row>
    <row r="1137">
      <c r="A1137" t="inlineStr">
        <is>
          <t>District</t>
        </is>
      </c>
      <c r="B1137" t="inlineStr">
        <is>
          <t>AF1720</t>
        </is>
      </c>
      <c r="C1137" t="inlineStr">
        <is>
          <t>Khwahan</t>
        </is>
      </c>
      <c r="E1137" t="inlineStr">
        <is>
          <t>AF17</t>
        </is>
      </c>
    </row>
    <row r="1138">
      <c r="A1138" t="inlineStr">
        <is>
          <t>District</t>
        </is>
      </c>
      <c r="B1138" t="inlineStr">
        <is>
          <t>AF1721</t>
        </is>
      </c>
      <c r="C1138" t="inlineStr">
        <is>
          <t>Kofab</t>
        </is>
      </c>
      <c r="E1138" t="inlineStr">
        <is>
          <t>AF17</t>
        </is>
      </c>
    </row>
    <row r="1139">
      <c r="A1139" t="inlineStr">
        <is>
          <t>District</t>
        </is>
      </c>
      <c r="B1139" t="inlineStr">
        <is>
          <t>AF1722</t>
        </is>
      </c>
      <c r="C1139" t="inlineStr">
        <is>
          <t>Dawraz-e-Payin</t>
        </is>
      </c>
      <c r="E1139" t="inlineStr">
        <is>
          <t>AF17</t>
        </is>
      </c>
    </row>
    <row r="1140">
      <c r="A1140" t="inlineStr">
        <is>
          <t>District</t>
        </is>
      </c>
      <c r="B1140" t="inlineStr">
        <is>
          <t>AF1723</t>
        </is>
      </c>
      <c r="C1140" t="inlineStr">
        <is>
          <t>Eshkashem</t>
        </is>
      </c>
      <c r="E1140" t="inlineStr">
        <is>
          <t>AF17</t>
        </is>
      </c>
    </row>
    <row r="1141">
      <c r="A1141" t="inlineStr">
        <is>
          <t>District</t>
        </is>
      </c>
      <c r="B1141" t="inlineStr">
        <is>
          <t>AF1724</t>
        </is>
      </c>
      <c r="C1141" t="inlineStr">
        <is>
          <t>Shaki</t>
        </is>
      </c>
      <c r="E1141" t="inlineStr">
        <is>
          <t>AF17</t>
        </is>
      </c>
    </row>
    <row r="1142">
      <c r="A1142" t="inlineStr">
        <is>
          <t>District</t>
        </is>
      </c>
      <c r="B1142" t="inlineStr">
        <is>
          <t>AF1725</t>
        </is>
      </c>
      <c r="C1142" t="inlineStr">
        <is>
          <t>Zebak</t>
        </is>
      </c>
      <c r="E1142" t="inlineStr">
        <is>
          <t>AF17</t>
        </is>
      </c>
    </row>
    <row r="1143">
      <c r="A1143" t="inlineStr">
        <is>
          <t>District</t>
        </is>
      </c>
      <c r="B1143" t="inlineStr">
        <is>
          <t>AF1726</t>
        </is>
      </c>
      <c r="C1143" t="inlineStr">
        <is>
          <t>Koran Wa Monjan</t>
        </is>
      </c>
      <c r="E1143" t="inlineStr">
        <is>
          <t>AF17</t>
        </is>
      </c>
    </row>
    <row r="1144">
      <c r="A1144" t="inlineStr">
        <is>
          <t>District</t>
        </is>
      </c>
      <c r="B1144" t="inlineStr">
        <is>
          <t>AF1727</t>
        </is>
      </c>
      <c r="C1144" t="inlineStr">
        <is>
          <t>Dawraz-e-Bala</t>
        </is>
      </c>
      <c r="E1144" t="inlineStr">
        <is>
          <t>AF17</t>
        </is>
      </c>
    </row>
    <row r="1145">
      <c r="A1145" t="inlineStr">
        <is>
          <t>District</t>
        </is>
      </c>
      <c r="B1145" t="inlineStr">
        <is>
          <t>AF1728</t>
        </is>
      </c>
      <c r="C1145" t="inlineStr">
        <is>
          <t>Wakhan</t>
        </is>
      </c>
      <c r="E1145" t="inlineStr">
        <is>
          <t>AF17</t>
        </is>
      </c>
    </row>
    <row r="1146">
      <c r="A1146" t="inlineStr">
        <is>
          <t>District</t>
        </is>
      </c>
      <c r="B1146" t="inlineStr">
        <is>
          <t>AF1801</t>
        </is>
      </c>
      <c r="C1146" t="inlineStr">
        <is>
          <t>Taloqan</t>
        </is>
      </c>
      <c r="E1146" t="inlineStr">
        <is>
          <t>AF18</t>
        </is>
      </c>
    </row>
    <row r="1147">
      <c r="A1147" t="inlineStr">
        <is>
          <t>District</t>
        </is>
      </c>
      <c r="B1147" t="inlineStr">
        <is>
          <t>AF1802</t>
        </is>
      </c>
      <c r="C1147" t="inlineStr">
        <is>
          <t>Hazar Sumuch</t>
        </is>
      </c>
      <c r="E1147" t="inlineStr">
        <is>
          <t>AF18</t>
        </is>
      </c>
    </row>
    <row r="1148">
      <c r="A1148" t="inlineStr">
        <is>
          <t>District</t>
        </is>
      </c>
      <c r="B1148" t="inlineStr">
        <is>
          <t>AF1803</t>
        </is>
      </c>
      <c r="C1148" t="inlineStr">
        <is>
          <t>Baharak</t>
        </is>
      </c>
      <c r="E1148" t="inlineStr">
        <is>
          <t>AF18</t>
        </is>
      </c>
    </row>
    <row r="1149">
      <c r="A1149" t="inlineStr">
        <is>
          <t>District</t>
        </is>
      </c>
      <c r="B1149" t="inlineStr">
        <is>
          <t>AF1804</t>
        </is>
      </c>
      <c r="C1149" t="inlineStr">
        <is>
          <t>Bangi</t>
        </is>
      </c>
      <c r="E1149" t="inlineStr">
        <is>
          <t>AF18</t>
        </is>
      </c>
    </row>
    <row r="1150">
      <c r="A1150" t="inlineStr">
        <is>
          <t>District</t>
        </is>
      </c>
      <c r="B1150" t="inlineStr">
        <is>
          <t>AF1805</t>
        </is>
      </c>
      <c r="C1150" t="inlineStr">
        <is>
          <t>Chal</t>
        </is>
      </c>
      <c r="E1150" t="inlineStr">
        <is>
          <t>AF18</t>
        </is>
      </c>
    </row>
    <row r="1151">
      <c r="A1151" t="inlineStr">
        <is>
          <t>District</t>
        </is>
      </c>
      <c r="B1151" t="inlineStr">
        <is>
          <t>AF1806</t>
        </is>
      </c>
      <c r="C1151" t="inlineStr">
        <is>
          <t>Namak Ab</t>
        </is>
      </c>
      <c r="E1151" t="inlineStr">
        <is>
          <t>AF18</t>
        </is>
      </c>
    </row>
    <row r="1152">
      <c r="A1152" t="inlineStr">
        <is>
          <t>District</t>
        </is>
      </c>
      <c r="B1152" t="inlineStr">
        <is>
          <t>AF1807</t>
        </is>
      </c>
      <c r="C1152" t="inlineStr">
        <is>
          <t>Kalafgan</t>
        </is>
      </c>
      <c r="E1152" t="inlineStr">
        <is>
          <t>AF18</t>
        </is>
      </c>
    </row>
    <row r="1153">
      <c r="A1153" t="inlineStr">
        <is>
          <t>District</t>
        </is>
      </c>
      <c r="B1153" t="inlineStr">
        <is>
          <t>AF1808</t>
        </is>
      </c>
      <c r="C1153" t="inlineStr">
        <is>
          <t>Farkhar</t>
        </is>
      </c>
      <c r="E1153" t="inlineStr">
        <is>
          <t>AF18</t>
        </is>
      </c>
    </row>
    <row r="1154">
      <c r="A1154" t="inlineStr">
        <is>
          <t>District</t>
        </is>
      </c>
      <c r="B1154" t="inlineStr">
        <is>
          <t>AF1809</t>
        </is>
      </c>
      <c r="C1154" t="inlineStr">
        <is>
          <t>Khwaja Ghar</t>
        </is>
      </c>
      <c r="E1154" t="inlineStr">
        <is>
          <t>AF18</t>
        </is>
      </c>
    </row>
    <row r="1155">
      <c r="A1155" t="inlineStr">
        <is>
          <t>District</t>
        </is>
      </c>
      <c r="B1155" t="inlineStr">
        <is>
          <t>AF1810</t>
        </is>
      </c>
      <c r="C1155" t="inlineStr">
        <is>
          <t>Rostaq</t>
        </is>
      </c>
      <c r="E1155" t="inlineStr">
        <is>
          <t>AF18</t>
        </is>
      </c>
    </row>
    <row r="1156">
      <c r="A1156" t="inlineStr">
        <is>
          <t>District</t>
        </is>
      </c>
      <c r="B1156" t="inlineStr">
        <is>
          <t>AF1811</t>
        </is>
      </c>
      <c r="C1156" t="inlineStr">
        <is>
          <t>Eshkmesh</t>
        </is>
      </c>
      <c r="E1156" t="inlineStr">
        <is>
          <t>AF18</t>
        </is>
      </c>
    </row>
    <row r="1157">
      <c r="A1157" t="inlineStr">
        <is>
          <t>District</t>
        </is>
      </c>
      <c r="B1157" t="inlineStr">
        <is>
          <t>AF1812</t>
        </is>
      </c>
      <c r="C1157" t="inlineStr">
        <is>
          <t>Dasht-e-Qala</t>
        </is>
      </c>
      <c r="E1157" t="inlineStr">
        <is>
          <t>AF18</t>
        </is>
      </c>
    </row>
    <row r="1158">
      <c r="A1158" t="inlineStr">
        <is>
          <t>District</t>
        </is>
      </c>
      <c r="B1158" t="inlineStr">
        <is>
          <t>AF1813</t>
        </is>
      </c>
      <c r="C1158" t="inlineStr">
        <is>
          <t>Warsaj</t>
        </is>
      </c>
      <c r="E1158" t="inlineStr">
        <is>
          <t>AF18</t>
        </is>
      </c>
    </row>
    <row r="1159">
      <c r="A1159" t="inlineStr">
        <is>
          <t>District</t>
        </is>
      </c>
      <c r="B1159" t="inlineStr">
        <is>
          <t>AF1814</t>
        </is>
      </c>
      <c r="C1159" t="inlineStr">
        <is>
          <t>Khwaja Bahawuddin</t>
        </is>
      </c>
      <c r="E1159" t="inlineStr">
        <is>
          <t>AF18</t>
        </is>
      </c>
    </row>
    <row r="1160">
      <c r="A1160" t="inlineStr">
        <is>
          <t>District</t>
        </is>
      </c>
      <c r="B1160" t="inlineStr">
        <is>
          <t>AF1815</t>
        </is>
      </c>
      <c r="C1160" t="inlineStr">
        <is>
          <t>Darqad</t>
        </is>
      </c>
      <c r="E1160" t="inlineStr">
        <is>
          <t>AF18</t>
        </is>
      </c>
    </row>
    <row r="1161">
      <c r="A1161" t="inlineStr">
        <is>
          <t>District</t>
        </is>
      </c>
      <c r="B1161" t="inlineStr">
        <is>
          <t>AF1816</t>
        </is>
      </c>
      <c r="C1161" t="inlineStr">
        <is>
          <t>Chahab</t>
        </is>
      </c>
      <c r="E1161" t="inlineStr">
        <is>
          <t>AF18</t>
        </is>
      </c>
    </row>
    <row r="1162">
      <c r="A1162" t="inlineStr">
        <is>
          <t>District</t>
        </is>
      </c>
      <c r="B1162" t="inlineStr">
        <is>
          <t>AF1817</t>
        </is>
      </c>
      <c r="C1162" t="inlineStr">
        <is>
          <t>Yangi Qala</t>
        </is>
      </c>
      <c r="E1162" t="inlineStr">
        <is>
          <t>AF18</t>
        </is>
      </c>
    </row>
    <row r="1163">
      <c r="A1163" t="inlineStr">
        <is>
          <t>District</t>
        </is>
      </c>
      <c r="B1163" t="inlineStr">
        <is>
          <t>AF1901</t>
        </is>
      </c>
      <c r="C1163" t="inlineStr">
        <is>
          <t>Kunduz</t>
        </is>
      </c>
      <c r="E1163" t="inlineStr">
        <is>
          <t>AF19</t>
        </is>
      </c>
    </row>
    <row r="1164">
      <c r="A1164" t="inlineStr">
        <is>
          <t>District</t>
        </is>
      </c>
      <c r="B1164" t="inlineStr">
        <is>
          <t>AF1902</t>
        </is>
      </c>
      <c r="C1164" t="inlineStr">
        <is>
          <t>Chahar Darah</t>
        </is>
      </c>
      <c r="E1164" t="inlineStr">
        <is>
          <t>AF19</t>
        </is>
      </c>
    </row>
    <row r="1165">
      <c r="A1165" t="inlineStr">
        <is>
          <t>District</t>
        </is>
      </c>
      <c r="B1165" t="inlineStr">
        <is>
          <t>AF1903</t>
        </is>
      </c>
      <c r="C1165" t="inlineStr">
        <is>
          <t>Ali Abad</t>
        </is>
      </c>
      <c r="E1165" t="inlineStr">
        <is>
          <t>AF19</t>
        </is>
      </c>
    </row>
    <row r="1166">
      <c r="A1166" t="inlineStr">
        <is>
          <t>District</t>
        </is>
      </c>
      <c r="B1166" t="inlineStr">
        <is>
          <t>AF1904</t>
        </is>
      </c>
      <c r="C1166" t="inlineStr">
        <is>
          <t>Khan Abad</t>
        </is>
      </c>
      <c r="E1166" t="inlineStr">
        <is>
          <t>AF19</t>
        </is>
      </c>
    </row>
    <row r="1167">
      <c r="A1167" t="inlineStr">
        <is>
          <t>District</t>
        </is>
      </c>
      <c r="B1167" t="inlineStr">
        <is>
          <t>AF1905</t>
        </is>
      </c>
      <c r="C1167" t="inlineStr">
        <is>
          <t>Imam Sahib</t>
        </is>
      </c>
      <c r="E1167" t="inlineStr">
        <is>
          <t>AF19</t>
        </is>
      </c>
    </row>
    <row r="1168">
      <c r="A1168" t="inlineStr">
        <is>
          <t>District</t>
        </is>
      </c>
      <c r="B1168" t="inlineStr">
        <is>
          <t>AF1906</t>
        </is>
      </c>
      <c r="C1168" t="inlineStr">
        <is>
          <t>Dasht-e-Archi</t>
        </is>
      </c>
      <c r="E1168" t="inlineStr">
        <is>
          <t>AF19</t>
        </is>
      </c>
    </row>
    <row r="1169">
      <c r="A1169" t="inlineStr">
        <is>
          <t>District</t>
        </is>
      </c>
      <c r="B1169" t="inlineStr">
        <is>
          <t>AF1907</t>
        </is>
      </c>
      <c r="C1169" t="inlineStr">
        <is>
          <t>Qala-e-Zal</t>
        </is>
      </c>
      <c r="E1169" t="inlineStr">
        <is>
          <t>AF19</t>
        </is>
      </c>
    </row>
    <row r="1170">
      <c r="A1170" t="inlineStr">
        <is>
          <t>District</t>
        </is>
      </c>
      <c r="B1170" t="inlineStr">
        <is>
          <t>AF2001</t>
        </is>
      </c>
      <c r="C1170" t="inlineStr">
        <is>
          <t>Aybak</t>
        </is>
      </c>
      <c r="E1170" t="inlineStr">
        <is>
          <t>AF20</t>
        </is>
      </c>
    </row>
    <row r="1171">
      <c r="A1171" t="inlineStr">
        <is>
          <t>District</t>
        </is>
      </c>
      <c r="B1171" t="inlineStr">
        <is>
          <t>AF2002</t>
        </is>
      </c>
      <c r="C1171" t="inlineStr">
        <is>
          <t>Hazrat-e-Sultan</t>
        </is>
      </c>
      <c r="E1171" t="inlineStr">
        <is>
          <t>AF20</t>
        </is>
      </c>
    </row>
    <row r="1172">
      <c r="A1172" t="inlineStr">
        <is>
          <t>District</t>
        </is>
      </c>
      <c r="B1172" t="inlineStr">
        <is>
          <t>AF2003</t>
        </is>
      </c>
      <c r="C1172" t="inlineStr">
        <is>
          <t>Khuram Wa Sarbagh</t>
        </is>
      </c>
      <c r="E1172" t="inlineStr">
        <is>
          <t>AF20</t>
        </is>
      </c>
    </row>
    <row r="1173">
      <c r="A1173" t="inlineStr">
        <is>
          <t>District</t>
        </is>
      </c>
      <c r="B1173" t="inlineStr">
        <is>
          <t>AF2004</t>
        </is>
      </c>
      <c r="C1173" t="inlineStr">
        <is>
          <t>Feroz Nakhchir</t>
        </is>
      </c>
      <c r="E1173" t="inlineStr">
        <is>
          <t>AF20</t>
        </is>
      </c>
    </row>
    <row r="1174">
      <c r="A1174" t="inlineStr">
        <is>
          <t>District</t>
        </is>
      </c>
      <c r="B1174" t="inlineStr">
        <is>
          <t>AF2005</t>
        </is>
      </c>
      <c r="C1174" t="inlineStr">
        <is>
          <t>Ruy-e-Duab</t>
        </is>
      </c>
      <c r="E1174" t="inlineStr">
        <is>
          <t>AF20</t>
        </is>
      </c>
    </row>
    <row r="1175">
      <c r="A1175" t="inlineStr">
        <is>
          <t>District</t>
        </is>
      </c>
      <c r="B1175" t="inlineStr">
        <is>
          <t>AF2006</t>
        </is>
      </c>
      <c r="C1175" t="inlineStr">
        <is>
          <t>Dara-e-Suf-e-Payin</t>
        </is>
      </c>
      <c r="E1175" t="inlineStr">
        <is>
          <t>AF20</t>
        </is>
      </c>
    </row>
    <row r="1176">
      <c r="A1176" t="inlineStr">
        <is>
          <t>District</t>
        </is>
      </c>
      <c r="B1176" t="inlineStr">
        <is>
          <t>AF2007</t>
        </is>
      </c>
      <c r="C1176" t="inlineStr">
        <is>
          <t>Dara-e-Suf-e-Bala</t>
        </is>
      </c>
      <c r="E1176" t="inlineStr">
        <is>
          <t>AF20</t>
        </is>
      </c>
    </row>
    <row r="1177">
      <c r="A1177" t="inlineStr">
        <is>
          <t>District</t>
        </is>
      </c>
      <c r="B1177" t="inlineStr">
        <is>
          <t>AF2101</t>
        </is>
      </c>
      <c r="C1177" t="inlineStr">
        <is>
          <t>Mazar-e-Sharif</t>
        </is>
      </c>
      <c r="E1177" t="inlineStr">
        <is>
          <t>AF21</t>
        </is>
      </c>
    </row>
    <row r="1178">
      <c r="A1178" t="inlineStr">
        <is>
          <t>District</t>
        </is>
      </c>
      <c r="B1178" t="inlineStr">
        <is>
          <t>AF2102</t>
        </is>
      </c>
      <c r="C1178" t="inlineStr">
        <is>
          <t>Nahr-e-Shahi</t>
        </is>
      </c>
      <c r="E1178" t="inlineStr">
        <is>
          <t>AF21</t>
        </is>
      </c>
    </row>
    <row r="1179">
      <c r="A1179" t="inlineStr">
        <is>
          <t>District</t>
        </is>
      </c>
      <c r="B1179" t="inlineStr">
        <is>
          <t>AF2103</t>
        </is>
      </c>
      <c r="C1179" t="inlineStr">
        <is>
          <t>Dehdadi</t>
        </is>
      </c>
      <c r="E1179" t="inlineStr">
        <is>
          <t>AF21</t>
        </is>
      </c>
    </row>
    <row r="1180">
      <c r="A1180" t="inlineStr">
        <is>
          <t>District</t>
        </is>
      </c>
      <c r="B1180" t="inlineStr">
        <is>
          <t>AF2104</t>
        </is>
      </c>
      <c r="C1180" t="inlineStr">
        <is>
          <t>Charkent</t>
        </is>
      </c>
      <c r="E1180" t="inlineStr">
        <is>
          <t>AF21</t>
        </is>
      </c>
    </row>
    <row r="1181">
      <c r="A1181" t="inlineStr">
        <is>
          <t>District</t>
        </is>
      </c>
      <c r="B1181" t="inlineStr">
        <is>
          <t>AF2105</t>
        </is>
      </c>
      <c r="C1181" t="inlineStr">
        <is>
          <t>Marmul</t>
        </is>
      </c>
      <c r="E1181" t="inlineStr">
        <is>
          <t>AF21</t>
        </is>
      </c>
    </row>
    <row r="1182">
      <c r="A1182" t="inlineStr">
        <is>
          <t>District</t>
        </is>
      </c>
      <c r="B1182" t="inlineStr">
        <is>
          <t>AF2106</t>
        </is>
      </c>
      <c r="C1182" t="inlineStr">
        <is>
          <t>Balkh</t>
        </is>
      </c>
      <c r="E1182" t="inlineStr">
        <is>
          <t>AF21</t>
        </is>
      </c>
    </row>
    <row r="1183">
      <c r="A1183" t="inlineStr">
        <is>
          <t>District</t>
        </is>
      </c>
      <c r="B1183" t="inlineStr">
        <is>
          <t>AF2107</t>
        </is>
      </c>
      <c r="C1183" t="inlineStr">
        <is>
          <t>Sholgareh</t>
        </is>
      </c>
      <c r="E1183" t="inlineStr">
        <is>
          <t>AF21</t>
        </is>
      </c>
    </row>
    <row r="1184">
      <c r="A1184" t="inlineStr">
        <is>
          <t>District</t>
        </is>
      </c>
      <c r="B1184" t="inlineStr">
        <is>
          <t>AF2108</t>
        </is>
      </c>
      <c r="C1184" t="inlineStr">
        <is>
          <t>Chemtal</t>
        </is>
      </c>
      <c r="E1184" t="inlineStr">
        <is>
          <t>AF21</t>
        </is>
      </c>
    </row>
    <row r="1185">
      <c r="A1185" t="inlineStr">
        <is>
          <t>District</t>
        </is>
      </c>
      <c r="B1185" t="inlineStr">
        <is>
          <t>AF2109</t>
        </is>
      </c>
      <c r="C1185" t="inlineStr">
        <is>
          <t>Dawlat Abad</t>
        </is>
      </c>
      <c r="E1185" t="inlineStr">
        <is>
          <t>AF21</t>
        </is>
      </c>
    </row>
    <row r="1186">
      <c r="A1186" t="inlineStr">
        <is>
          <t>District</t>
        </is>
      </c>
      <c r="B1186" t="inlineStr">
        <is>
          <t>AF2110</t>
        </is>
      </c>
      <c r="C1186" t="inlineStr">
        <is>
          <t>Khulm</t>
        </is>
      </c>
      <c r="E1186" t="inlineStr">
        <is>
          <t>AF21</t>
        </is>
      </c>
    </row>
    <row r="1187">
      <c r="A1187" t="inlineStr">
        <is>
          <t>District</t>
        </is>
      </c>
      <c r="B1187" t="inlineStr">
        <is>
          <t>AF2111</t>
        </is>
      </c>
      <c r="C1187" t="inlineStr">
        <is>
          <t>Char Bolak</t>
        </is>
      </c>
      <c r="E1187" t="inlineStr">
        <is>
          <t>AF21</t>
        </is>
      </c>
    </row>
    <row r="1188">
      <c r="A1188" t="inlineStr">
        <is>
          <t>District</t>
        </is>
      </c>
      <c r="B1188" t="inlineStr">
        <is>
          <t>AF2112</t>
        </is>
      </c>
      <c r="C1188" t="inlineStr">
        <is>
          <t>Shortepa</t>
        </is>
      </c>
      <c r="E1188" t="inlineStr">
        <is>
          <t>AF21</t>
        </is>
      </c>
    </row>
    <row r="1189">
      <c r="A1189" t="inlineStr">
        <is>
          <t>District</t>
        </is>
      </c>
      <c r="B1189" t="inlineStr">
        <is>
          <t>AF2113</t>
        </is>
      </c>
      <c r="C1189" t="inlineStr">
        <is>
          <t>Kaldar</t>
        </is>
      </c>
      <c r="E1189" t="inlineStr">
        <is>
          <t>AF21</t>
        </is>
      </c>
    </row>
    <row r="1190">
      <c r="A1190" t="inlineStr">
        <is>
          <t>District</t>
        </is>
      </c>
      <c r="B1190" t="inlineStr">
        <is>
          <t>AF2114</t>
        </is>
      </c>
      <c r="C1190" t="inlineStr">
        <is>
          <t>Keshendeh</t>
        </is>
      </c>
      <c r="E1190" t="inlineStr">
        <is>
          <t>AF21</t>
        </is>
      </c>
    </row>
    <row r="1191">
      <c r="A1191" t="inlineStr">
        <is>
          <t>District</t>
        </is>
      </c>
      <c r="B1191" t="inlineStr">
        <is>
          <t>AF2115</t>
        </is>
      </c>
      <c r="C1191" t="inlineStr">
        <is>
          <t>Zari</t>
        </is>
      </c>
      <c r="E1191" t="inlineStr">
        <is>
          <t>AF21</t>
        </is>
      </c>
    </row>
    <row r="1192">
      <c r="A1192" t="inlineStr">
        <is>
          <t>District</t>
        </is>
      </c>
      <c r="B1192" t="inlineStr">
        <is>
          <t>AF2116</t>
        </is>
      </c>
      <c r="C1192" t="inlineStr">
        <is>
          <t>Sharak-e-Hayratan</t>
        </is>
      </c>
      <c r="E1192" t="inlineStr">
        <is>
          <t>AF21</t>
        </is>
      </c>
    </row>
    <row r="1193">
      <c r="A1193" t="inlineStr">
        <is>
          <t>District</t>
        </is>
      </c>
      <c r="B1193" t="inlineStr">
        <is>
          <t>AF2201</t>
        </is>
      </c>
      <c r="C1193" t="inlineStr">
        <is>
          <t>Sar-e-Pul</t>
        </is>
      </c>
      <c r="E1193" t="inlineStr">
        <is>
          <t>AF22</t>
        </is>
      </c>
    </row>
    <row r="1194">
      <c r="A1194" t="inlineStr">
        <is>
          <t>District</t>
        </is>
      </c>
      <c r="B1194" t="inlineStr">
        <is>
          <t>AF2202</t>
        </is>
      </c>
      <c r="C1194" t="inlineStr">
        <is>
          <t>Sayad</t>
        </is>
      </c>
      <c r="E1194" t="inlineStr">
        <is>
          <t>AF22</t>
        </is>
      </c>
    </row>
    <row r="1195">
      <c r="A1195" t="inlineStr">
        <is>
          <t>District</t>
        </is>
      </c>
      <c r="B1195" t="inlineStr">
        <is>
          <t>AF2203</t>
        </is>
      </c>
      <c r="C1195" t="inlineStr">
        <is>
          <t>Kohestanat</t>
        </is>
      </c>
      <c r="E1195" t="inlineStr">
        <is>
          <t>AF22</t>
        </is>
      </c>
    </row>
    <row r="1196">
      <c r="A1196" t="inlineStr">
        <is>
          <t>District</t>
        </is>
      </c>
      <c r="B1196" t="inlineStr">
        <is>
          <t>AF2204</t>
        </is>
      </c>
      <c r="C1196" t="inlineStr">
        <is>
          <t>Sozmaqala</t>
        </is>
      </c>
      <c r="E1196" t="inlineStr">
        <is>
          <t>AF22</t>
        </is>
      </c>
    </row>
    <row r="1197">
      <c r="A1197" t="inlineStr">
        <is>
          <t>District</t>
        </is>
      </c>
      <c r="B1197" t="inlineStr">
        <is>
          <t>AF2205</t>
        </is>
      </c>
      <c r="C1197" t="inlineStr">
        <is>
          <t>Sancharak</t>
        </is>
      </c>
      <c r="E1197" t="inlineStr">
        <is>
          <t>AF22</t>
        </is>
      </c>
    </row>
    <row r="1198">
      <c r="A1198" t="inlineStr">
        <is>
          <t>District</t>
        </is>
      </c>
      <c r="B1198" t="inlineStr">
        <is>
          <t>AF2206</t>
        </is>
      </c>
      <c r="C1198" t="inlineStr">
        <is>
          <t>Gosfandi</t>
        </is>
      </c>
      <c r="E1198" t="inlineStr">
        <is>
          <t>AF22</t>
        </is>
      </c>
    </row>
    <row r="1199">
      <c r="A1199" t="inlineStr">
        <is>
          <t>District</t>
        </is>
      </c>
      <c r="B1199" t="inlineStr">
        <is>
          <t>AF2207</t>
        </is>
      </c>
      <c r="C1199" t="inlineStr">
        <is>
          <t>Balkhab</t>
        </is>
      </c>
      <c r="E1199" t="inlineStr">
        <is>
          <t>AF22</t>
        </is>
      </c>
    </row>
    <row r="1200">
      <c r="A1200" t="inlineStr">
        <is>
          <t>District</t>
        </is>
      </c>
      <c r="B1200" t="inlineStr">
        <is>
          <t>AF2301</t>
        </is>
      </c>
      <c r="C1200" t="inlineStr">
        <is>
          <t>Feroz Koh</t>
        </is>
      </c>
      <c r="E1200" t="inlineStr">
        <is>
          <t>AF23</t>
        </is>
      </c>
    </row>
    <row r="1201">
      <c r="A1201" t="inlineStr">
        <is>
          <t>District</t>
        </is>
      </c>
      <c r="B1201" t="inlineStr">
        <is>
          <t>AF2302</t>
        </is>
      </c>
      <c r="C1201" t="inlineStr">
        <is>
          <t>DoLayna</t>
        </is>
      </c>
      <c r="E1201" t="inlineStr">
        <is>
          <t>AF23</t>
        </is>
      </c>
    </row>
    <row r="1202">
      <c r="A1202" t="inlineStr">
        <is>
          <t>District</t>
        </is>
      </c>
      <c r="B1202" t="inlineStr">
        <is>
          <t>AF2303</t>
        </is>
      </c>
      <c r="C1202" t="inlineStr">
        <is>
          <t>Dawlatyar</t>
        </is>
      </c>
      <c r="E1202" t="inlineStr">
        <is>
          <t>AF23</t>
        </is>
      </c>
    </row>
    <row r="1203">
      <c r="A1203" t="inlineStr">
        <is>
          <t>District</t>
        </is>
      </c>
      <c r="B1203" t="inlineStr">
        <is>
          <t>AF2304</t>
        </is>
      </c>
      <c r="C1203" t="inlineStr">
        <is>
          <t>Charsadra</t>
        </is>
      </c>
      <c r="E1203" t="inlineStr">
        <is>
          <t>AF23</t>
        </is>
      </c>
    </row>
    <row r="1204">
      <c r="A1204" t="inlineStr">
        <is>
          <t>District</t>
        </is>
      </c>
      <c r="B1204" t="inlineStr">
        <is>
          <t>AF2305</t>
        </is>
      </c>
      <c r="C1204" t="inlineStr">
        <is>
          <t>Pasaband</t>
        </is>
      </c>
      <c r="E1204" t="inlineStr">
        <is>
          <t>AF23</t>
        </is>
      </c>
    </row>
    <row r="1205">
      <c r="A1205" t="inlineStr">
        <is>
          <t>District</t>
        </is>
      </c>
      <c r="B1205" t="inlineStr">
        <is>
          <t>AF2306</t>
        </is>
      </c>
      <c r="C1205" t="inlineStr">
        <is>
          <t>Shahrak</t>
        </is>
      </c>
      <c r="E1205" t="inlineStr">
        <is>
          <t>AF23</t>
        </is>
      </c>
    </row>
    <row r="1206">
      <c r="A1206" t="inlineStr">
        <is>
          <t>District</t>
        </is>
      </c>
      <c r="B1206" t="inlineStr">
        <is>
          <t>AF2307</t>
        </is>
      </c>
      <c r="C1206" t="inlineStr">
        <is>
          <t>Lal Wa Sarjangal</t>
        </is>
      </c>
      <c r="E1206" t="inlineStr">
        <is>
          <t>AF23</t>
        </is>
      </c>
    </row>
    <row r="1207">
      <c r="A1207" t="inlineStr">
        <is>
          <t>District</t>
        </is>
      </c>
      <c r="B1207" t="inlineStr">
        <is>
          <t>AF2308</t>
        </is>
      </c>
      <c r="C1207" t="inlineStr">
        <is>
          <t>Taywarah</t>
        </is>
      </c>
      <c r="E1207" t="inlineStr">
        <is>
          <t>AF23</t>
        </is>
      </c>
    </row>
    <row r="1208">
      <c r="A1208" t="inlineStr">
        <is>
          <t>District</t>
        </is>
      </c>
      <c r="B1208" t="inlineStr">
        <is>
          <t>AF2309</t>
        </is>
      </c>
      <c r="C1208" t="inlineStr">
        <is>
          <t>Tolak</t>
        </is>
      </c>
      <c r="E1208" t="inlineStr">
        <is>
          <t>AF23</t>
        </is>
      </c>
    </row>
    <row r="1209">
      <c r="A1209" t="inlineStr">
        <is>
          <t>District</t>
        </is>
      </c>
      <c r="B1209" t="inlineStr">
        <is>
          <t>AF2310</t>
        </is>
      </c>
      <c r="C1209" t="inlineStr">
        <is>
          <t>Saghar</t>
        </is>
      </c>
      <c r="E1209" t="inlineStr">
        <is>
          <t>AF23</t>
        </is>
      </c>
    </row>
    <row r="1210">
      <c r="A1210" t="inlineStr">
        <is>
          <t>District</t>
        </is>
      </c>
      <c r="B1210" t="inlineStr">
        <is>
          <t>AF2401</t>
        </is>
      </c>
      <c r="C1210" t="inlineStr">
        <is>
          <t>Nili</t>
        </is>
      </c>
      <c r="E1210" t="inlineStr">
        <is>
          <t>AF24</t>
        </is>
      </c>
    </row>
    <row r="1211">
      <c r="A1211" t="inlineStr">
        <is>
          <t>District</t>
        </is>
      </c>
      <c r="B1211" t="inlineStr">
        <is>
          <t>AF2402</t>
        </is>
      </c>
      <c r="C1211" t="inlineStr">
        <is>
          <t>Shahrestan</t>
        </is>
      </c>
      <c r="E1211" t="inlineStr">
        <is>
          <t>AF24</t>
        </is>
      </c>
    </row>
    <row r="1212">
      <c r="A1212" t="inlineStr">
        <is>
          <t>District</t>
        </is>
      </c>
      <c r="B1212" t="inlineStr">
        <is>
          <t>AF2403</t>
        </is>
      </c>
      <c r="C1212" t="inlineStr">
        <is>
          <t>Ashtarlay</t>
        </is>
      </c>
      <c r="E1212" t="inlineStr">
        <is>
          <t>AF24</t>
        </is>
      </c>
    </row>
    <row r="1213">
      <c r="A1213" t="inlineStr">
        <is>
          <t>District</t>
        </is>
      </c>
      <c r="B1213" t="inlineStr">
        <is>
          <t>AF2404</t>
        </is>
      </c>
      <c r="C1213" t="inlineStr">
        <is>
          <t>Khadir</t>
        </is>
      </c>
      <c r="E1213" t="inlineStr">
        <is>
          <t>AF24</t>
        </is>
      </c>
    </row>
    <row r="1214">
      <c r="A1214" t="inlineStr">
        <is>
          <t>District</t>
        </is>
      </c>
      <c r="B1214" t="inlineStr">
        <is>
          <t>AF2405</t>
        </is>
      </c>
      <c r="C1214" t="inlineStr">
        <is>
          <t>Kiti</t>
        </is>
      </c>
      <c r="E1214" t="inlineStr">
        <is>
          <t>AF24</t>
        </is>
      </c>
    </row>
    <row r="1215">
      <c r="A1215" t="inlineStr">
        <is>
          <t>District</t>
        </is>
      </c>
      <c r="B1215" t="inlineStr">
        <is>
          <t>AF2406</t>
        </is>
      </c>
      <c r="C1215" t="inlineStr">
        <is>
          <t>Miramor</t>
        </is>
      </c>
      <c r="E1215" t="inlineStr">
        <is>
          <t>AF24</t>
        </is>
      </c>
    </row>
    <row r="1216">
      <c r="A1216" t="inlineStr">
        <is>
          <t>District</t>
        </is>
      </c>
      <c r="B1216" t="inlineStr">
        <is>
          <t>AF2407</t>
        </is>
      </c>
      <c r="C1216" t="inlineStr">
        <is>
          <t>Sang-e-Takht</t>
        </is>
      </c>
      <c r="E1216" t="inlineStr">
        <is>
          <t>AF24</t>
        </is>
      </c>
    </row>
    <row r="1217">
      <c r="A1217" t="inlineStr">
        <is>
          <t>District</t>
        </is>
      </c>
      <c r="B1217" t="inlineStr">
        <is>
          <t>AF2408</t>
        </is>
      </c>
      <c r="C1217" t="inlineStr">
        <is>
          <t>Kajran</t>
        </is>
      </c>
      <c r="E1217" t="inlineStr">
        <is>
          <t>AF24</t>
        </is>
      </c>
    </row>
    <row r="1218">
      <c r="A1218" t="inlineStr">
        <is>
          <t>District</t>
        </is>
      </c>
      <c r="B1218" t="inlineStr">
        <is>
          <t>AF2409</t>
        </is>
      </c>
      <c r="C1218" t="inlineStr">
        <is>
          <t>Gizab</t>
        </is>
      </c>
      <c r="E1218" t="inlineStr">
        <is>
          <t>AF24</t>
        </is>
      </c>
    </row>
    <row r="1219">
      <c r="A1219" t="inlineStr">
        <is>
          <t>District</t>
        </is>
      </c>
      <c r="B1219" t="inlineStr">
        <is>
          <t>AF2501</t>
        </is>
      </c>
      <c r="C1219" t="inlineStr">
        <is>
          <t>Tirinkot</t>
        </is>
      </c>
      <c r="E1219" t="inlineStr">
        <is>
          <t>AF25</t>
        </is>
      </c>
    </row>
    <row r="1220">
      <c r="A1220" t="inlineStr">
        <is>
          <t>District</t>
        </is>
      </c>
      <c r="B1220" t="inlineStr">
        <is>
          <t>AF2502</t>
        </is>
      </c>
      <c r="C1220" t="inlineStr">
        <is>
          <t>Dehrawud</t>
        </is>
      </c>
      <c r="E1220" t="inlineStr">
        <is>
          <t>AF25</t>
        </is>
      </c>
    </row>
    <row r="1221">
      <c r="A1221" t="inlineStr">
        <is>
          <t>District</t>
        </is>
      </c>
      <c r="B1221" t="inlineStr">
        <is>
          <t>AF2503</t>
        </is>
      </c>
      <c r="C1221" t="inlineStr">
        <is>
          <t>Chora</t>
        </is>
      </c>
      <c r="E1221" t="inlineStr">
        <is>
          <t>AF25</t>
        </is>
      </c>
    </row>
    <row r="1222">
      <c r="A1222" t="inlineStr">
        <is>
          <t>District</t>
        </is>
      </c>
      <c r="B1222" t="inlineStr">
        <is>
          <t>AF2504</t>
        </is>
      </c>
      <c r="C1222" t="inlineStr">
        <is>
          <t>Shahid-e-Hassas</t>
        </is>
      </c>
      <c r="E1222" t="inlineStr">
        <is>
          <t>AF25</t>
        </is>
      </c>
    </row>
    <row r="1223">
      <c r="A1223" t="inlineStr">
        <is>
          <t>District</t>
        </is>
      </c>
      <c r="B1223" t="inlineStr">
        <is>
          <t>AF2505</t>
        </is>
      </c>
      <c r="C1223" t="inlineStr">
        <is>
          <t>Khas Uruzgan</t>
        </is>
      </c>
      <c r="E1223" t="inlineStr">
        <is>
          <t>AF25</t>
        </is>
      </c>
    </row>
    <row r="1224">
      <c r="A1224" t="inlineStr">
        <is>
          <t>District</t>
        </is>
      </c>
      <c r="B1224" t="inlineStr">
        <is>
          <t>AF2601</t>
        </is>
      </c>
      <c r="C1224" t="inlineStr">
        <is>
          <t>Qalat</t>
        </is>
      </c>
      <c r="E1224" t="inlineStr">
        <is>
          <t>AF26</t>
        </is>
      </c>
    </row>
    <row r="1225">
      <c r="A1225" t="inlineStr">
        <is>
          <t>District</t>
        </is>
      </c>
      <c r="B1225" t="inlineStr">
        <is>
          <t>AF2602</t>
        </is>
      </c>
      <c r="C1225" t="inlineStr">
        <is>
          <t>Tarnak Wa Jaldak</t>
        </is>
      </c>
      <c r="E1225" t="inlineStr">
        <is>
          <t>AF26</t>
        </is>
      </c>
    </row>
    <row r="1226">
      <c r="A1226" t="inlineStr">
        <is>
          <t>District</t>
        </is>
      </c>
      <c r="B1226" t="inlineStr">
        <is>
          <t>AF2603</t>
        </is>
      </c>
      <c r="C1226" t="inlineStr">
        <is>
          <t>Shinkay</t>
        </is>
      </c>
      <c r="E1226" t="inlineStr">
        <is>
          <t>AF26</t>
        </is>
      </c>
    </row>
    <row r="1227">
      <c r="A1227" t="inlineStr">
        <is>
          <t>District</t>
        </is>
      </c>
      <c r="B1227" t="inlineStr">
        <is>
          <t>AF2604</t>
        </is>
      </c>
      <c r="C1227" t="inlineStr">
        <is>
          <t>Mizan</t>
        </is>
      </c>
      <c r="E1227" t="inlineStr">
        <is>
          <t>AF26</t>
        </is>
      </c>
    </row>
    <row r="1228">
      <c r="A1228" t="inlineStr">
        <is>
          <t>District</t>
        </is>
      </c>
      <c r="B1228" t="inlineStr">
        <is>
          <t>AF2605</t>
        </is>
      </c>
      <c r="C1228" t="inlineStr">
        <is>
          <t>Arghandab</t>
        </is>
      </c>
      <c r="E1228" t="inlineStr">
        <is>
          <t>AF26</t>
        </is>
      </c>
    </row>
    <row r="1229">
      <c r="A1229" t="inlineStr">
        <is>
          <t>District</t>
        </is>
      </c>
      <c r="B1229" t="inlineStr">
        <is>
          <t>AF2606</t>
        </is>
      </c>
      <c r="C1229" t="inlineStr">
        <is>
          <t>Shah Joi</t>
        </is>
      </c>
      <c r="E1229" t="inlineStr">
        <is>
          <t>AF26</t>
        </is>
      </c>
    </row>
    <row r="1230">
      <c r="A1230" t="inlineStr">
        <is>
          <t>District</t>
        </is>
      </c>
      <c r="B1230" t="inlineStr">
        <is>
          <t>AF2607</t>
        </is>
      </c>
      <c r="C1230" t="inlineStr">
        <is>
          <t>Daychopan</t>
        </is>
      </c>
      <c r="E1230" t="inlineStr">
        <is>
          <t>AF26</t>
        </is>
      </c>
    </row>
    <row r="1231">
      <c r="A1231" t="inlineStr">
        <is>
          <t>District</t>
        </is>
      </c>
      <c r="B1231" t="inlineStr">
        <is>
          <t>AF2608</t>
        </is>
      </c>
      <c r="C1231" t="inlineStr">
        <is>
          <t>Atghar</t>
        </is>
      </c>
      <c r="E1231" t="inlineStr">
        <is>
          <t>AF26</t>
        </is>
      </c>
    </row>
    <row r="1232">
      <c r="A1232" t="inlineStr">
        <is>
          <t>District</t>
        </is>
      </c>
      <c r="B1232" t="inlineStr">
        <is>
          <t>AF2609</t>
        </is>
      </c>
      <c r="C1232" t="inlineStr">
        <is>
          <t>Nawbahar</t>
        </is>
      </c>
      <c r="E1232" t="inlineStr">
        <is>
          <t>AF26</t>
        </is>
      </c>
    </row>
    <row r="1233">
      <c r="A1233" t="inlineStr">
        <is>
          <t>District</t>
        </is>
      </c>
      <c r="B1233" t="inlineStr">
        <is>
          <t>AF2610</t>
        </is>
      </c>
      <c r="C1233" t="inlineStr">
        <is>
          <t>Shamul Zayi</t>
        </is>
      </c>
      <c r="E1233" t="inlineStr">
        <is>
          <t>AF26</t>
        </is>
      </c>
    </row>
    <row r="1234">
      <c r="A1234" t="inlineStr">
        <is>
          <t>District</t>
        </is>
      </c>
      <c r="B1234" t="inlineStr">
        <is>
          <t>AF2611</t>
        </is>
      </c>
      <c r="C1234" t="inlineStr">
        <is>
          <t>Kakar</t>
        </is>
      </c>
      <c r="E1234" t="inlineStr">
        <is>
          <t>AF26</t>
        </is>
      </c>
    </row>
    <row r="1235">
      <c r="A1235" t="inlineStr">
        <is>
          <t>District</t>
        </is>
      </c>
      <c r="B1235" t="inlineStr">
        <is>
          <t>AF2701</t>
        </is>
      </c>
      <c r="C1235" t="inlineStr">
        <is>
          <t>Kandahar</t>
        </is>
      </c>
      <c r="E1235" t="inlineStr">
        <is>
          <t>AF27</t>
        </is>
      </c>
    </row>
    <row r="1236">
      <c r="A1236" t="inlineStr">
        <is>
          <t>District</t>
        </is>
      </c>
      <c r="B1236" t="inlineStr">
        <is>
          <t>AF2702</t>
        </is>
      </c>
      <c r="C1236" t="inlineStr">
        <is>
          <t>Arghandab</t>
        </is>
      </c>
      <c r="E1236" t="inlineStr">
        <is>
          <t>AF27</t>
        </is>
      </c>
    </row>
    <row r="1237">
      <c r="A1237" t="inlineStr">
        <is>
          <t>District</t>
        </is>
      </c>
      <c r="B1237" t="inlineStr">
        <is>
          <t>AF2703</t>
        </is>
      </c>
      <c r="C1237" t="inlineStr">
        <is>
          <t>Daman</t>
        </is>
      </c>
      <c r="E1237" t="inlineStr">
        <is>
          <t>AF27</t>
        </is>
      </c>
    </row>
    <row r="1238">
      <c r="A1238" t="inlineStr">
        <is>
          <t>District</t>
        </is>
      </c>
      <c r="B1238" t="inlineStr">
        <is>
          <t>AF2704</t>
        </is>
      </c>
      <c r="C1238" t="inlineStr">
        <is>
          <t>Panjwayi</t>
        </is>
      </c>
      <c r="E1238" t="inlineStr">
        <is>
          <t>AF27</t>
        </is>
      </c>
    </row>
    <row r="1239">
      <c r="A1239" t="inlineStr">
        <is>
          <t>District</t>
        </is>
      </c>
      <c r="B1239" t="inlineStr">
        <is>
          <t>AF2705</t>
        </is>
      </c>
      <c r="C1239" t="inlineStr">
        <is>
          <t>Zheray</t>
        </is>
      </c>
      <c r="E1239" t="inlineStr">
        <is>
          <t>AF27</t>
        </is>
      </c>
    </row>
    <row r="1240">
      <c r="A1240" t="inlineStr">
        <is>
          <t>District</t>
        </is>
      </c>
      <c r="B1240" t="inlineStr">
        <is>
          <t>AF2706</t>
        </is>
      </c>
      <c r="C1240" t="inlineStr">
        <is>
          <t>Shah Wali Kot</t>
        </is>
      </c>
      <c r="E1240" t="inlineStr">
        <is>
          <t>AF27</t>
        </is>
      </c>
    </row>
    <row r="1241">
      <c r="A1241" t="inlineStr">
        <is>
          <t>District</t>
        </is>
      </c>
      <c r="B1241" t="inlineStr">
        <is>
          <t>AF2707</t>
        </is>
      </c>
      <c r="C1241" t="inlineStr">
        <is>
          <t>Khakrez</t>
        </is>
      </c>
      <c r="E1241" t="inlineStr">
        <is>
          <t>AF27</t>
        </is>
      </c>
    </row>
    <row r="1242">
      <c r="A1242" t="inlineStr">
        <is>
          <t>District</t>
        </is>
      </c>
      <c r="B1242" t="inlineStr">
        <is>
          <t>AF2708</t>
        </is>
      </c>
      <c r="C1242" t="inlineStr">
        <is>
          <t>Arghestan</t>
        </is>
      </c>
      <c r="E1242" t="inlineStr">
        <is>
          <t>AF27</t>
        </is>
      </c>
    </row>
    <row r="1243">
      <c r="A1243" t="inlineStr">
        <is>
          <t>District</t>
        </is>
      </c>
      <c r="B1243" t="inlineStr">
        <is>
          <t>AF2709</t>
        </is>
      </c>
      <c r="C1243" t="inlineStr">
        <is>
          <t>Ghorak</t>
        </is>
      </c>
      <c r="E1243" t="inlineStr">
        <is>
          <t>AF27</t>
        </is>
      </c>
    </row>
    <row r="1244">
      <c r="A1244" t="inlineStr">
        <is>
          <t>District</t>
        </is>
      </c>
      <c r="B1244" t="inlineStr">
        <is>
          <t>AF2710</t>
        </is>
      </c>
      <c r="C1244" t="inlineStr">
        <is>
          <t>Maywand</t>
        </is>
      </c>
      <c r="E1244" t="inlineStr">
        <is>
          <t>AF27</t>
        </is>
      </c>
    </row>
    <row r="1245">
      <c r="A1245" t="inlineStr">
        <is>
          <t>District</t>
        </is>
      </c>
      <c r="B1245" t="inlineStr">
        <is>
          <t>AF2711</t>
        </is>
      </c>
      <c r="C1245" t="inlineStr">
        <is>
          <t>Spin Boldak</t>
        </is>
      </c>
      <c r="E1245" t="inlineStr">
        <is>
          <t>AF27</t>
        </is>
      </c>
    </row>
    <row r="1246">
      <c r="A1246" t="inlineStr">
        <is>
          <t>District</t>
        </is>
      </c>
      <c r="B1246" t="inlineStr">
        <is>
          <t>AF2712</t>
        </is>
      </c>
      <c r="C1246" t="inlineStr">
        <is>
          <t>Nesh</t>
        </is>
      </c>
      <c r="E1246" t="inlineStr">
        <is>
          <t>AF27</t>
        </is>
      </c>
    </row>
    <row r="1247">
      <c r="A1247" t="inlineStr">
        <is>
          <t>District</t>
        </is>
      </c>
      <c r="B1247" t="inlineStr">
        <is>
          <t>AF2713</t>
        </is>
      </c>
      <c r="C1247" t="inlineStr">
        <is>
          <t>Miyanshin</t>
        </is>
      </c>
      <c r="E1247" t="inlineStr">
        <is>
          <t>AF27</t>
        </is>
      </c>
    </row>
    <row r="1248">
      <c r="A1248" t="inlineStr">
        <is>
          <t>District</t>
        </is>
      </c>
      <c r="B1248" t="inlineStr">
        <is>
          <t>AF2714</t>
        </is>
      </c>
      <c r="C1248" t="inlineStr">
        <is>
          <t>Shorabak</t>
        </is>
      </c>
      <c r="E1248" t="inlineStr">
        <is>
          <t>AF27</t>
        </is>
      </c>
    </row>
    <row r="1249">
      <c r="A1249" t="inlineStr">
        <is>
          <t>District</t>
        </is>
      </c>
      <c r="B1249" t="inlineStr">
        <is>
          <t>AF2715</t>
        </is>
      </c>
      <c r="C1249" t="inlineStr">
        <is>
          <t>Maruf</t>
        </is>
      </c>
      <c r="E1249" t="inlineStr">
        <is>
          <t>AF27</t>
        </is>
      </c>
    </row>
    <row r="1250">
      <c r="A1250" t="inlineStr">
        <is>
          <t>District</t>
        </is>
      </c>
      <c r="B1250" t="inlineStr">
        <is>
          <t>AF2716</t>
        </is>
      </c>
      <c r="C1250" t="inlineStr">
        <is>
          <t>Reg</t>
        </is>
      </c>
      <c r="E1250" t="inlineStr">
        <is>
          <t>AF27</t>
        </is>
      </c>
    </row>
    <row r="1251">
      <c r="A1251" t="inlineStr">
        <is>
          <t>District</t>
        </is>
      </c>
      <c r="B1251" t="inlineStr">
        <is>
          <t>AF2801</t>
        </is>
      </c>
      <c r="C1251" t="inlineStr">
        <is>
          <t>Shiberghan</t>
        </is>
      </c>
      <c r="E1251" t="inlineStr">
        <is>
          <t>AF28</t>
        </is>
      </c>
    </row>
    <row r="1252">
      <c r="A1252" t="inlineStr">
        <is>
          <t>District</t>
        </is>
      </c>
      <c r="B1252" t="inlineStr">
        <is>
          <t>AF2802</t>
        </is>
      </c>
      <c r="C1252" t="inlineStr">
        <is>
          <t>Khwaja Dukoh</t>
        </is>
      </c>
      <c r="E1252" t="inlineStr">
        <is>
          <t>AF28</t>
        </is>
      </c>
    </row>
    <row r="1253">
      <c r="A1253" t="inlineStr">
        <is>
          <t>District</t>
        </is>
      </c>
      <c r="B1253" t="inlineStr">
        <is>
          <t>AF2803</t>
        </is>
      </c>
      <c r="C1253" t="inlineStr">
        <is>
          <t>Khanaqa</t>
        </is>
      </c>
      <c r="E1253" t="inlineStr">
        <is>
          <t>AF28</t>
        </is>
      </c>
    </row>
    <row r="1254">
      <c r="A1254" t="inlineStr">
        <is>
          <t>District</t>
        </is>
      </c>
      <c r="B1254" t="inlineStr">
        <is>
          <t>AF2804</t>
        </is>
      </c>
      <c r="C1254" t="inlineStr">
        <is>
          <t>Mingajik</t>
        </is>
      </c>
      <c r="E1254" t="inlineStr">
        <is>
          <t>AF28</t>
        </is>
      </c>
    </row>
    <row r="1255">
      <c r="A1255" t="inlineStr">
        <is>
          <t>District</t>
        </is>
      </c>
      <c r="B1255" t="inlineStr">
        <is>
          <t>AF2805</t>
        </is>
      </c>
      <c r="C1255" t="inlineStr">
        <is>
          <t>Qush Tepa</t>
        </is>
      </c>
      <c r="E1255" t="inlineStr">
        <is>
          <t>AF28</t>
        </is>
      </c>
    </row>
    <row r="1256">
      <c r="A1256" t="inlineStr">
        <is>
          <t>District</t>
        </is>
      </c>
      <c r="B1256" t="inlineStr">
        <is>
          <t>AF2806</t>
        </is>
      </c>
      <c r="C1256" t="inlineStr">
        <is>
          <t>Khamyab</t>
        </is>
      </c>
      <c r="E1256" t="inlineStr">
        <is>
          <t>AF28</t>
        </is>
      </c>
    </row>
    <row r="1257">
      <c r="A1257" t="inlineStr">
        <is>
          <t>District</t>
        </is>
      </c>
      <c r="B1257" t="inlineStr">
        <is>
          <t>AF2807</t>
        </is>
      </c>
      <c r="C1257" t="inlineStr">
        <is>
          <t>Aqcha</t>
        </is>
      </c>
      <c r="E1257" t="inlineStr">
        <is>
          <t>AF28</t>
        </is>
      </c>
    </row>
    <row r="1258">
      <c r="A1258" t="inlineStr">
        <is>
          <t>District</t>
        </is>
      </c>
      <c r="B1258" t="inlineStr">
        <is>
          <t>AF2808</t>
        </is>
      </c>
      <c r="C1258" t="inlineStr">
        <is>
          <t>Fayzabad</t>
        </is>
      </c>
      <c r="E1258" t="inlineStr">
        <is>
          <t>AF28</t>
        </is>
      </c>
    </row>
    <row r="1259">
      <c r="A1259" t="inlineStr">
        <is>
          <t>District</t>
        </is>
      </c>
      <c r="B1259" t="inlineStr">
        <is>
          <t>AF2809</t>
        </is>
      </c>
      <c r="C1259" t="inlineStr">
        <is>
          <t>Mardyan</t>
        </is>
      </c>
      <c r="E1259" t="inlineStr">
        <is>
          <t>AF28</t>
        </is>
      </c>
    </row>
    <row r="1260">
      <c r="A1260" t="inlineStr">
        <is>
          <t>District</t>
        </is>
      </c>
      <c r="B1260" t="inlineStr">
        <is>
          <t>AF2810</t>
        </is>
      </c>
      <c r="C1260" t="inlineStr">
        <is>
          <t>Qarqin</t>
        </is>
      </c>
      <c r="E1260" t="inlineStr">
        <is>
          <t>AF28</t>
        </is>
      </c>
    </row>
    <row r="1261">
      <c r="A1261" t="inlineStr">
        <is>
          <t>District</t>
        </is>
      </c>
      <c r="B1261" t="inlineStr">
        <is>
          <t>AF2811</t>
        </is>
      </c>
      <c r="C1261" t="inlineStr">
        <is>
          <t>Darzab</t>
        </is>
      </c>
      <c r="E1261" t="inlineStr">
        <is>
          <t>AF28</t>
        </is>
      </c>
    </row>
    <row r="1262">
      <c r="A1262" t="inlineStr">
        <is>
          <t>District</t>
        </is>
      </c>
      <c r="B1262" t="inlineStr">
        <is>
          <t>AF2901</t>
        </is>
      </c>
      <c r="C1262" t="inlineStr">
        <is>
          <t>Maymana</t>
        </is>
      </c>
      <c r="E1262" t="inlineStr">
        <is>
          <t>AF29</t>
        </is>
      </c>
    </row>
    <row r="1263">
      <c r="A1263" t="inlineStr">
        <is>
          <t>District</t>
        </is>
      </c>
      <c r="B1263" t="inlineStr">
        <is>
          <t>AF2902</t>
        </is>
      </c>
      <c r="C1263" t="inlineStr">
        <is>
          <t>Pashtun Kot</t>
        </is>
      </c>
      <c r="E1263" t="inlineStr">
        <is>
          <t>AF29</t>
        </is>
      </c>
    </row>
    <row r="1264">
      <c r="A1264" t="inlineStr">
        <is>
          <t>District</t>
        </is>
      </c>
      <c r="B1264" t="inlineStr">
        <is>
          <t>AF2903</t>
        </is>
      </c>
      <c r="C1264" t="inlineStr">
        <is>
          <t>Khwaja Sabz Posh</t>
        </is>
      </c>
      <c r="E1264" t="inlineStr">
        <is>
          <t>AF29</t>
        </is>
      </c>
    </row>
    <row r="1265">
      <c r="A1265" t="inlineStr">
        <is>
          <t>District</t>
        </is>
      </c>
      <c r="B1265" t="inlineStr">
        <is>
          <t>AF2904</t>
        </is>
      </c>
      <c r="C1265" t="inlineStr">
        <is>
          <t>Almar</t>
        </is>
      </c>
      <c r="E1265" t="inlineStr">
        <is>
          <t>AF29</t>
        </is>
      </c>
    </row>
    <row r="1266">
      <c r="A1266" t="inlineStr">
        <is>
          <t>District</t>
        </is>
      </c>
      <c r="B1266" t="inlineStr">
        <is>
          <t>AF2905</t>
        </is>
      </c>
      <c r="C1266" t="inlineStr">
        <is>
          <t>Bilcheragh</t>
        </is>
      </c>
      <c r="E1266" t="inlineStr">
        <is>
          <t>AF29</t>
        </is>
      </c>
    </row>
    <row r="1267">
      <c r="A1267" t="inlineStr">
        <is>
          <t>District</t>
        </is>
      </c>
      <c r="B1267" t="inlineStr">
        <is>
          <t>AF2906</t>
        </is>
      </c>
      <c r="C1267" t="inlineStr">
        <is>
          <t>Shirin Tagab</t>
        </is>
      </c>
      <c r="E1267" t="inlineStr">
        <is>
          <t>AF29</t>
        </is>
      </c>
    </row>
    <row r="1268">
      <c r="A1268" t="inlineStr">
        <is>
          <t>District</t>
        </is>
      </c>
      <c r="B1268" t="inlineStr">
        <is>
          <t>AF2907</t>
        </is>
      </c>
      <c r="C1268" t="inlineStr">
        <is>
          <t>Qaysar</t>
        </is>
      </c>
      <c r="E1268" t="inlineStr">
        <is>
          <t>AF29</t>
        </is>
      </c>
    </row>
    <row r="1269">
      <c r="A1269" t="inlineStr">
        <is>
          <t>District</t>
        </is>
      </c>
      <c r="B1269" t="inlineStr">
        <is>
          <t>AF2908</t>
        </is>
      </c>
      <c r="C1269" t="inlineStr">
        <is>
          <t>Garzewan</t>
        </is>
      </c>
      <c r="E1269" t="inlineStr">
        <is>
          <t>AF29</t>
        </is>
      </c>
    </row>
    <row r="1270">
      <c r="A1270" t="inlineStr">
        <is>
          <t>District</t>
        </is>
      </c>
      <c r="B1270" t="inlineStr">
        <is>
          <t>AF2909</t>
        </is>
      </c>
      <c r="C1270" t="inlineStr">
        <is>
          <t>Dawlat Abad</t>
        </is>
      </c>
      <c r="E1270" t="inlineStr">
        <is>
          <t>AF29</t>
        </is>
      </c>
    </row>
    <row r="1271">
      <c r="A1271" t="inlineStr">
        <is>
          <t>District</t>
        </is>
      </c>
      <c r="B1271" t="inlineStr">
        <is>
          <t>AF2910</t>
        </is>
      </c>
      <c r="C1271" t="inlineStr">
        <is>
          <t>Kohistan</t>
        </is>
      </c>
      <c r="E1271" t="inlineStr">
        <is>
          <t>AF29</t>
        </is>
      </c>
    </row>
    <row r="1272">
      <c r="A1272" t="inlineStr">
        <is>
          <t>District</t>
        </is>
      </c>
      <c r="B1272" t="inlineStr">
        <is>
          <t>AF2911</t>
        </is>
      </c>
      <c r="C1272" t="inlineStr">
        <is>
          <t>Qaram Qul</t>
        </is>
      </c>
      <c r="E1272" t="inlineStr">
        <is>
          <t>AF29</t>
        </is>
      </c>
    </row>
    <row r="1273">
      <c r="A1273" t="inlineStr">
        <is>
          <t>District</t>
        </is>
      </c>
      <c r="B1273" t="inlineStr">
        <is>
          <t>AF2912</t>
        </is>
      </c>
      <c r="C1273" t="inlineStr">
        <is>
          <t>Qurghan</t>
        </is>
      </c>
      <c r="E1273" t="inlineStr">
        <is>
          <t>AF29</t>
        </is>
      </c>
    </row>
    <row r="1274">
      <c r="A1274" t="inlineStr">
        <is>
          <t>District</t>
        </is>
      </c>
      <c r="B1274" t="inlineStr">
        <is>
          <t>AF2913</t>
        </is>
      </c>
      <c r="C1274" t="inlineStr">
        <is>
          <t>Andkhoy</t>
        </is>
      </c>
      <c r="E1274" t="inlineStr">
        <is>
          <t>AF29</t>
        </is>
      </c>
    </row>
    <row r="1275">
      <c r="A1275" t="inlineStr">
        <is>
          <t>District</t>
        </is>
      </c>
      <c r="B1275" t="inlineStr">
        <is>
          <t>AF2914</t>
        </is>
      </c>
      <c r="C1275" t="inlineStr">
        <is>
          <t>Khan-e-Char Bagh</t>
        </is>
      </c>
      <c r="E1275" t="inlineStr">
        <is>
          <t>AF29</t>
        </is>
      </c>
    </row>
    <row r="1276">
      <c r="A1276" t="inlineStr">
        <is>
          <t>District</t>
        </is>
      </c>
      <c r="B1276" t="inlineStr">
        <is>
          <t>AF3001</t>
        </is>
      </c>
      <c r="C1276" t="inlineStr">
        <is>
          <t>Lashkargah</t>
        </is>
      </c>
      <c r="E1276" t="inlineStr">
        <is>
          <t>AF30</t>
        </is>
      </c>
    </row>
    <row r="1277">
      <c r="A1277" t="inlineStr">
        <is>
          <t>District</t>
        </is>
      </c>
      <c r="B1277" t="inlineStr">
        <is>
          <t>AF3002</t>
        </is>
      </c>
      <c r="C1277" t="inlineStr">
        <is>
          <t>Nad-e-Ali</t>
        </is>
      </c>
      <c r="E1277" t="inlineStr">
        <is>
          <t>AF30</t>
        </is>
      </c>
    </row>
    <row r="1278">
      <c r="A1278" t="inlineStr">
        <is>
          <t>District</t>
        </is>
      </c>
      <c r="B1278" t="inlineStr">
        <is>
          <t>AF3003</t>
        </is>
      </c>
      <c r="C1278" t="inlineStr">
        <is>
          <t>Nawa-e-Barakzaiy</t>
        </is>
      </c>
      <c r="E1278" t="inlineStr">
        <is>
          <t>AF30</t>
        </is>
      </c>
    </row>
    <row r="1279">
      <c r="A1279" t="inlineStr">
        <is>
          <t>District</t>
        </is>
      </c>
      <c r="B1279" t="inlineStr">
        <is>
          <t>AF3004</t>
        </is>
      </c>
      <c r="C1279" t="inlineStr">
        <is>
          <t>Nahr-e-Saraj</t>
        </is>
      </c>
      <c r="E1279" t="inlineStr">
        <is>
          <t>AF30</t>
        </is>
      </c>
    </row>
    <row r="1280">
      <c r="A1280" t="inlineStr">
        <is>
          <t>District</t>
        </is>
      </c>
      <c r="B1280" t="inlineStr">
        <is>
          <t>AF3005</t>
        </is>
      </c>
      <c r="C1280" t="inlineStr">
        <is>
          <t>Washer</t>
        </is>
      </c>
      <c r="E1280" t="inlineStr">
        <is>
          <t>AF30</t>
        </is>
      </c>
    </row>
    <row r="1281">
      <c r="A1281" t="inlineStr">
        <is>
          <t>District</t>
        </is>
      </c>
      <c r="B1281" t="inlineStr">
        <is>
          <t>AF3006</t>
        </is>
      </c>
      <c r="C1281" t="inlineStr">
        <is>
          <t>Garmser</t>
        </is>
      </c>
      <c r="E1281" t="inlineStr">
        <is>
          <t>AF30</t>
        </is>
      </c>
    </row>
    <row r="1282">
      <c r="A1282" t="inlineStr">
        <is>
          <t>District</t>
        </is>
      </c>
      <c r="B1282" t="inlineStr">
        <is>
          <t>AF3007</t>
        </is>
      </c>
      <c r="C1282" t="inlineStr">
        <is>
          <t>Nawzad</t>
        </is>
      </c>
      <c r="E1282" t="inlineStr">
        <is>
          <t>AF30</t>
        </is>
      </c>
    </row>
    <row r="1283">
      <c r="A1283" t="inlineStr">
        <is>
          <t>District</t>
        </is>
      </c>
      <c r="B1283" t="inlineStr">
        <is>
          <t>AF3008</t>
        </is>
      </c>
      <c r="C1283" t="inlineStr">
        <is>
          <t>Sangin</t>
        </is>
      </c>
      <c r="E1283" t="inlineStr">
        <is>
          <t>AF30</t>
        </is>
      </c>
    </row>
    <row r="1284">
      <c r="A1284" t="inlineStr">
        <is>
          <t>District</t>
        </is>
      </c>
      <c r="B1284" t="inlineStr">
        <is>
          <t>AF3009</t>
        </is>
      </c>
      <c r="C1284" t="inlineStr">
        <is>
          <t>Musa Qala</t>
        </is>
      </c>
      <c r="E1284" t="inlineStr">
        <is>
          <t>AF30</t>
        </is>
      </c>
    </row>
    <row r="1285">
      <c r="A1285" t="inlineStr">
        <is>
          <t>District</t>
        </is>
      </c>
      <c r="B1285" t="inlineStr">
        <is>
          <t>AF3010</t>
        </is>
      </c>
      <c r="C1285" t="inlineStr">
        <is>
          <t>Kajaki</t>
        </is>
      </c>
      <c r="E1285" t="inlineStr">
        <is>
          <t>AF30</t>
        </is>
      </c>
    </row>
    <row r="1286">
      <c r="A1286" t="inlineStr">
        <is>
          <t>District</t>
        </is>
      </c>
      <c r="B1286" t="inlineStr">
        <is>
          <t>AF3011</t>
        </is>
      </c>
      <c r="C1286" t="inlineStr">
        <is>
          <t>Reg-i-Khan Nishin</t>
        </is>
      </c>
      <c r="E1286" t="inlineStr">
        <is>
          <t>AF30</t>
        </is>
      </c>
    </row>
    <row r="1287">
      <c r="A1287" t="inlineStr">
        <is>
          <t>District</t>
        </is>
      </c>
      <c r="B1287" t="inlineStr">
        <is>
          <t>AF3012</t>
        </is>
      </c>
      <c r="C1287" t="inlineStr">
        <is>
          <t>Baghran</t>
        </is>
      </c>
      <c r="E1287" t="inlineStr">
        <is>
          <t>AF30</t>
        </is>
      </c>
    </row>
    <row r="1288">
      <c r="A1288" t="inlineStr">
        <is>
          <t>District</t>
        </is>
      </c>
      <c r="B1288" t="inlineStr">
        <is>
          <t>AF3013</t>
        </is>
      </c>
      <c r="C1288" t="inlineStr">
        <is>
          <t>Deh-e-Shu</t>
        </is>
      </c>
      <c r="E1288" t="inlineStr">
        <is>
          <t>AF30</t>
        </is>
      </c>
    </row>
    <row r="1289">
      <c r="A1289" t="inlineStr">
        <is>
          <t>District</t>
        </is>
      </c>
      <c r="B1289" t="inlineStr">
        <is>
          <t>AF3101</t>
        </is>
      </c>
      <c r="C1289" t="inlineStr">
        <is>
          <t>Qala-e-Naw</t>
        </is>
      </c>
      <c r="E1289" t="inlineStr">
        <is>
          <t>AF31</t>
        </is>
      </c>
    </row>
    <row r="1290">
      <c r="A1290" t="inlineStr">
        <is>
          <t>District</t>
        </is>
      </c>
      <c r="B1290" t="inlineStr">
        <is>
          <t>AF3102</t>
        </is>
      </c>
      <c r="C1290" t="inlineStr">
        <is>
          <t>Ab Kamari</t>
        </is>
      </c>
      <c r="E1290" t="inlineStr">
        <is>
          <t>AF31</t>
        </is>
      </c>
    </row>
    <row r="1291">
      <c r="A1291" t="inlineStr">
        <is>
          <t>District</t>
        </is>
      </c>
      <c r="B1291" t="inlineStr">
        <is>
          <t>AF3103</t>
        </is>
      </c>
      <c r="C1291" t="inlineStr">
        <is>
          <t>Muqur</t>
        </is>
      </c>
      <c r="E1291" t="inlineStr">
        <is>
          <t>AF31</t>
        </is>
      </c>
    </row>
    <row r="1292">
      <c r="A1292" t="inlineStr">
        <is>
          <t>District</t>
        </is>
      </c>
      <c r="B1292" t="inlineStr">
        <is>
          <t>AF3104</t>
        </is>
      </c>
      <c r="C1292" t="inlineStr">
        <is>
          <t>Qadis</t>
        </is>
      </c>
      <c r="E1292" t="inlineStr">
        <is>
          <t>AF31</t>
        </is>
      </c>
    </row>
    <row r="1293">
      <c r="A1293" t="inlineStr">
        <is>
          <t>District</t>
        </is>
      </c>
      <c r="B1293" t="inlineStr">
        <is>
          <t>AF3105</t>
        </is>
      </c>
      <c r="C1293" t="inlineStr">
        <is>
          <t>Bala Murghab</t>
        </is>
      </c>
      <c r="E1293" t="inlineStr">
        <is>
          <t>AF31</t>
        </is>
      </c>
    </row>
    <row r="1294">
      <c r="A1294" t="inlineStr">
        <is>
          <t>District</t>
        </is>
      </c>
      <c r="B1294" t="inlineStr">
        <is>
          <t>AF3106</t>
        </is>
      </c>
      <c r="C1294" t="inlineStr">
        <is>
          <t>Jawand</t>
        </is>
      </c>
      <c r="E1294" t="inlineStr">
        <is>
          <t>AF31</t>
        </is>
      </c>
    </row>
    <row r="1295">
      <c r="A1295" t="inlineStr">
        <is>
          <t>District</t>
        </is>
      </c>
      <c r="B1295" t="inlineStr">
        <is>
          <t>AF3107</t>
        </is>
      </c>
      <c r="C1295" t="inlineStr">
        <is>
          <t>Ghormach</t>
        </is>
      </c>
      <c r="E1295" t="inlineStr">
        <is>
          <t>AF31</t>
        </is>
      </c>
    </row>
    <row r="1296">
      <c r="A1296" t="inlineStr">
        <is>
          <t>District</t>
        </is>
      </c>
      <c r="B1296" t="inlineStr">
        <is>
          <t>AF3201</t>
        </is>
      </c>
      <c r="C1296" t="inlineStr">
        <is>
          <t>Hirat</t>
        </is>
      </c>
      <c r="E1296" t="inlineStr">
        <is>
          <t>AF32</t>
        </is>
      </c>
    </row>
    <row r="1297">
      <c r="A1297" t="inlineStr">
        <is>
          <t>District</t>
        </is>
      </c>
      <c r="B1297" t="inlineStr">
        <is>
          <t>AF3202</t>
        </is>
      </c>
      <c r="C1297" t="inlineStr">
        <is>
          <t>Injil</t>
        </is>
      </c>
      <c r="E1297" t="inlineStr">
        <is>
          <t>AF32</t>
        </is>
      </c>
    </row>
    <row r="1298">
      <c r="A1298" t="inlineStr">
        <is>
          <t>District</t>
        </is>
      </c>
      <c r="B1298" t="inlineStr">
        <is>
          <t>AF3203</t>
        </is>
      </c>
      <c r="C1298" t="inlineStr">
        <is>
          <t>Guzara</t>
        </is>
      </c>
      <c r="E1298" t="inlineStr">
        <is>
          <t>AF32</t>
        </is>
      </c>
    </row>
    <row r="1299">
      <c r="A1299" t="inlineStr">
        <is>
          <t>District</t>
        </is>
      </c>
      <c r="B1299" t="inlineStr">
        <is>
          <t>AF3204</t>
        </is>
      </c>
      <c r="C1299" t="inlineStr">
        <is>
          <t>Karukh</t>
        </is>
      </c>
      <c r="E1299" t="inlineStr">
        <is>
          <t>AF32</t>
        </is>
      </c>
    </row>
    <row r="1300">
      <c r="A1300" t="inlineStr">
        <is>
          <t>District</t>
        </is>
      </c>
      <c r="B1300" t="inlineStr">
        <is>
          <t>AF3205</t>
        </is>
      </c>
      <c r="C1300" t="inlineStr">
        <is>
          <t>Zindajan</t>
        </is>
      </c>
      <c r="E1300" t="inlineStr">
        <is>
          <t>AF32</t>
        </is>
      </c>
    </row>
    <row r="1301">
      <c r="A1301" t="inlineStr">
        <is>
          <t>District</t>
        </is>
      </c>
      <c r="B1301" t="inlineStr">
        <is>
          <t>AF3206</t>
        </is>
      </c>
      <c r="C1301" t="inlineStr">
        <is>
          <t>Pashtun Zarghun</t>
        </is>
      </c>
      <c r="E1301" t="inlineStr">
        <is>
          <t>AF32</t>
        </is>
      </c>
    </row>
    <row r="1302">
      <c r="A1302" t="inlineStr">
        <is>
          <t>District</t>
        </is>
      </c>
      <c r="B1302" t="inlineStr">
        <is>
          <t>AF3207</t>
        </is>
      </c>
      <c r="C1302" t="inlineStr">
        <is>
          <t>Kushk</t>
        </is>
      </c>
      <c r="E1302" t="inlineStr">
        <is>
          <t>AF32</t>
        </is>
      </c>
    </row>
    <row r="1303">
      <c r="A1303" t="inlineStr">
        <is>
          <t>District</t>
        </is>
      </c>
      <c r="B1303" t="inlineStr">
        <is>
          <t>AF3208</t>
        </is>
      </c>
      <c r="C1303" t="inlineStr">
        <is>
          <t>Gulran</t>
        </is>
      </c>
      <c r="E1303" t="inlineStr">
        <is>
          <t>AF32</t>
        </is>
      </c>
    </row>
    <row r="1304">
      <c r="A1304" t="inlineStr">
        <is>
          <t>District</t>
        </is>
      </c>
      <c r="B1304" t="inlineStr">
        <is>
          <t>AF3209</t>
        </is>
      </c>
      <c r="C1304" t="inlineStr">
        <is>
          <t>Adraskan</t>
        </is>
      </c>
      <c r="E1304" t="inlineStr">
        <is>
          <t>AF32</t>
        </is>
      </c>
    </row>
    <row r="1305">
      <c r="A1305" t="inlineStr">
        <is>
          <t>District</t>
        </is>
      </c>
      <c r="B1305" t="inlineStr">
        <is>
          <t>AF3210</t>
        </is>
      </c>
      <c r="C1305" t="inlineStr">
        <is>
          <t>Kushk-e-Kuhna</t>
        </is>
      </c>
      <c r="E1305" t="inlineStr">
        <is>
          <t>AF32</t>
        </is>
      </c>
    </row>
    <row r="1306">
      <c r="A1306" t="inlineStr">
        <is>
          <t>District</t>
        </is>
      </c>
      <c r="B1306" t="inlineStr">
        <is>
          <t>AF3211</t>
        </is>
      </c>
      <c r="C1306" t="inlineStr">
        <is>
          <t>Ghoryan</t>
        </is>
      </c>
      <c r="E1306" t="inlineStr">
        <is>
          <t>AF32</t>
        </is>
      </c>
    </row>
    <row r="1307">
      <c r="A1307" t="inlineStr">
        <is>
          <t>District</t>
        </is>
      </c>
      <c r="B1307" t="inlineStr">
        <is>
          <t>AF3212</t>
        </is>
      </c>
      <c r="C1307" t="inlineStr">
        <is>
          <t>Obe</t>
        </is>
      </c>
      <c r="E1307" t="inlineStr">
        <is>
          <t>AF32</t>
        </is>
      </c>
    </row>
    <row r="1308">
      <c r="A1308" t="inlineStr">
        <is>
          <t>District</t>
        </is>
      </c>
      <c r="B1308" t="inlineStr">
        <is>
          <t>AF3213</t>
        </is>
      </c>
      <c r="C1308" t="inlineStr">
        <is>
          <t>Kohsan</t>
        </is>
      </c>
      <c r="E1308" t="inlineStr">
        <is>
          <t>AF32</t>
        </is>
      </c>
    </row>
    <row r="1309">
      <c r="A1309" t="inlineStr">
        <is>
          <t>District</t>
        </is>
      </c>
      <c r="B1309" t="inlineStr">
        <is>
          <t>AF3214</t>
        </is>
      </c>
      <c r="C1309" t="inlineStr">
        <is>
          <t>Shindand</t>
        </is>
      </c>
      <c r="E1309" t="inlineStr">
        <is>
          <t>AF32</t>
        </is>
      </c>
    </row>
    <row r="1310">
      <c r="A1310" t="inlineStr">
        <is>
          <t>District</t>
        </is>
      </c>
      <c r="B1310" t="inlineStr">
        <is>
          <t>AF3215</t>
        </is>
      </c>
      <c r="C1310" t="inlineStr">
        <is>
          <t>Farsi</t>
        </is>
      </c>
      <c r="E1310" t="inlineStr">
        <is>
          <t>AF32</t>
        </is>
      </c>
    </row>
    <row r="1311">
      <c r="A1311" t="inlineStr">
        <is>
          <t>District</t>
        </is>
      </c>
      <c r="B1311" t="inlineStr">
        <is>
          <t>AF3216</t>
        </is>
      </c>
      <c r="C1311" t="inlineStr">
        <is>
          <t>Chisht-e-Sharif</t>
        </is>
      </c>
      <c r="E1311" t="inlineStr">
        <is>
          <t>AF32</t>
        </is>
      </c>
    </row>
    <row r="1312">
      <c r="A1312" t="inlineStr">
        <is>
          <t>District</t>
        </is>
      </c>
      <c r="B1312" t="inlineStr">
        <is>
          <t>AF3301</t>
        </is>
      </c>
      <c r="C1312" t="inlineStr">
        <is>
          <t>Farah</t>
        </is>
      </c>
      <c r="E1312" t="inlineStr">
        <is>
          <t>AF33</t>
        </is>
      </c>
    </row>
    <row r="1313">
      <c r="A1313" t="inlineStr">
        <is>
          <t>District</t>
        </is>
      </c>
      <c r="B1313" t="inlineStr">
        <is>
          <t>AF3302</t>
        </is>
      </c>
      <c r="C1313" t="inlineStr">
        <is>
          <t>Pushtrod</t>
        </is>
      </c>
      <c r="E1313" t="inlineStr">
        <is>
          <t>AF33</t>
        </is>
      </c>
    </row>
    <row r="1314">
      <c r="A1314" t="inlineStr">
        <is>
          <t>District</t>
        </is>
      </c>
      <c r="B1314" t="inlineStr">
        <is>
          <t>AF3303</t>
        </is>
      </c>
      <c r="C1314" t="inlineStr">
        <is>
          <t>Khak-e-Safed</t>
        </is>
      </c>
      <c r="E1314" t="inlineStr">
        <is>
          <t>AF33</t>
        </is>
      </c>
    </row>
    <row r="1315">
      <c r="A1315" t="inlineStr">
        <is>
          <t>District</t>
        </is>
      </c>
      <c r="B1315" t="inlineStr">
        <is>
          <t>AF3304</t>
        </is>
      </c>
      <c r="C1315" t="inlineStr">
        <is>
          <t>Qala-e-Kah</t>
        </is>
      </c>
      <c r="E1315" t="inlineStr">
        <is>
          <t>AF33</t>
        </is>
      </c>
    </row>
    <row r="1316">
      <c r="A1316" t="inlineStr">
        <is>
          <t>District</t>
        </is>
      </c>
      <c r="B1316" t="inlineStr">
        <is>
          <t>AF3305</t>
        </is>
      </c>
      <c r="C1316" t="inlineStr">
        <is>
          <t>Shibkoh</t>
        </is>
      </c>
      <c r="E1316" t="inlineStr">
        <is>
          <t>AF33</t>
        </is>
      </c>
    </row>
    <row r="1317">
      <c r="A1317" t="inlineStr">
        <is>
          <t>District</t>
        </is>
      </c>
      <c r="B1317" t="inlineStr">
        <is>
          <t>AF3306</t>
        </is>
      </c>
      <c r="C1317" t="inlineStr">
        <is>
          <t>Bala Buluk</t>
        </is>
      </c>
      <c r="E1317" t="inlineStr">
        <is>
          <t>AF33</t>
        </is>
      </c>
    </row>
    <row r="1318">
      <c r="A1318" t="inlineStr">
        <is>
          <t>District</t>
        </is>
      </c>
      <c r="B1318" t="inlineStr">
        <is>
          <t>AF3307</t>
        </is>
      </c>
      <c r="C1318" t="inlineStr">
        <is>
          <t>Anar Dara</t>
        </is>
      </c>
      <c r="E1318" t="inlineStr">
        <is>
          <t>AF33</t>
        </is>
      </c>
    </row>
    <row r="1319">
      <c r="A1319" t="inlineStr">
        <is>
          <t>District</t>
        </is>
      </c>
      <c r="B1319" t="inlineStr">
        <is>
          <t>AF3308</t>
        </is>
      </c>
      <c r="C1319" t="inlineStr">
        <is>
          <t>Bakwa</t>
        </is>
      </c>
      <c r="E1319" t="inlineStr">
        <is>
          <t>AF33</t>
        </is>
      </c>
    </row>
    <row r="1320">
      <c r="A1320" t="inlineStr">
        <is>
          <t>District</t>
        </is>
      </c>
      <c r="B1320" t="inlineStr">
        <is>
          <t>AF3309</t>
        </is>
      </c>
      <c r="C1320" t="inlineStr">
        <is>
          <t>Lash-e-Juwayn</t>
        </is>
      </c>
      <c r="E1320" t="inlineStr">
        <is>
          <t>AF33</t>
        </is>
      </c>
    </row>
    <row r="1321">
      <c r="A1321" t="inlineStr">
        <is>
          <t>District</t>
        </is>
      </c>
      <c r="B1321" t="inlineStr">
        <is>
          <t>AF3310</t>
        </is>
      </c>
      <c r="C1321" t="inlineStr">
        <is>
          <t>Gulistan</t>
        </is>
      </c>
      <c r="E1321" t="inlineStr">
        <is>
          <t>AF33</t>
        </is>
      </c>
    </row>
    <row r="1322">
      <c r="A1322" t="inlineStr">
        <is>
          <t>District</t>
        </is>
      </c>
      <c r="B1322" t="inlineStr">
        <is>
          <t>AF3311</t>
        </is>
      </c>
      <c r="C1322" t="inlineStr">
        <is>
          <t>Pur Chaman</t>
        </is>
      </c>
      <c r="E1322" t="inlineStr">
        <is>
          <t>AF33</t>
        </is>
      </c>
    </row>
    <row r="1323">
      <c r="A1323" t="inlineStr">
        <is>
          <t>District</t>
        </is>
      </c>
      <c r="B1323" t="inlineStr">
        <is>
          <t>AF3401</t>
        </is>
      </c>
      <c r="C1323" t="inlineStr">
        <is>
          <t>Zaranj</t>
        </is>
      </c>
      <c r="E1323" t="inlineStr">
        <is>
          <t>AF34</t>
        </is>
      </c>
    </row>
    <row r="1324">
      <c r="A1324" t="inlineStr">
        <is>
          <t>District</t>
        </is>
      </c>
      <c r="B1324" t="inlineStr">
        <is>
          <t>AF3402</t>
        </is>
      </c>
      <c r="C1324" t="inlineStr">
        <is>
          <t>Kang</t>
        </is>
      </c>
      <c r="E1324" t="inlineStr">
        <is>
          <t>AF34</t>
        </is>
      </c>
    </row>
    <row r="1325">
      <c r="A1325" t="inlineStr">
        <is>
          <t>District</t>
        </is>
      </c>
      <c r="B1325" t="inlineStr">
        <is>
          <t>AF3403</t>
        </is>
      </c>
      <c r="C1325" t="inlineStr">
        <is>
          <t>Chakhansur</t>
        </is>
      </c>
      <c r="E1325" t="inlineStr">
        <is>
          <t>AF34</t>
        </is>
      </c>
    </row>
    <row r="1326">
      <c r="A1326" t="inlineStr">
        <is>
          <t>District</t>
        </is>
      </c>
      <c r="B1326" t="inlineStr">
        <is>
          <t>AF3404</t>
        </is>
      </c>
      <c r="C1326" t="inlineStr">
        <is>
          <t>Char Burjak</t>
        </is>
      </c>
      <c r="E1326" t="inlineStr">
        <is>
          <t>AF34</t>
        </is>
      </c>
    </row>
    <row r="1327">
      <c r="A1327" t="inlineStr">
        <is>
          <t>District</t>
        </is>
      </c>
      <c r="B1327" t="inlineStr">
        <is>
          <t>AF3405</t>
        </is>
      </c>
      <c r="C1327" t="inlineStr">
        <is>
          <t>Khashrod</t>
        </is>
      </c>
      <c r="E1327" t="inlineStr">
        <is>
          <t>AF34</t>
        </is>
      </c>
    </row>
  </sheetData>
  <sheetProtection selectLockedCells="0" selectUnlockedCells="0" algorithmName="SHA-512" sheet="1" objects="0" insertRows="0" insertHyperlinks="1" autoFilter="1" scenarios="0" formatColumns="0" deleteColumns="0" insertColumns="0" pivotTables="1" deleteRows="0" formatCells="0" saltValue="Zk1BBDRWXKIt/6xcjjZp/Q==" formatRows="0" sort="1" spinCount="100000" hashValue="PoE9T3SlMvkb9QQy/YrgWjwhk1j8yqnWhLz46Q2psb/LK7FJC6nmIfMZrIP7rDD9PrTlqIlDdgyJ9kd0cnVTvA=="/>
  <conditionalFormatting sqref="A293">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77734375" defaultRowHeight="14.4"/>
  <cols>
    <col width="28.109375" customWidth="1" style="3" min="1" max="4"/>
    <col width="8.7773437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33" activePane="bottomLeft" state="frozen"/>
      <selection pane="bottomLeft" activeCell="C4" sqref="C4:C92"/>
    </sheetView>
  </sheetViews>
  <sheetFormatPr baseColWidth="8" defaultColWidth="10.77734375" defaultRowHeight="14.4"/>
  <cols>
    <col width="10.77734375" customWidth="1" style="140" min="1" max="2"/>
    <col width="15.109375" customWidth="1" style="154" min="3" max="3"/>
    <col width="10.77734375" customWidth="1" style="155" min="4" max="4"/>
    <col width="28.6640625" customWidth="1" style="156" min="5" max="5"/>
    <col width="10.77734375" customWidth="1" style="140" min="6" max="16384"/>
  </cols>
  <sheetData>
    <row r="2">
      <c r="C2" s="141" t="n"/>
      <c r="D2" s="142" t="n"/>
      <c r="E2" s="143" t="n"/>
    </row>
    <row r="3" ht="28.8" customHeight="1">
      <c r="B3" s="144" t="n"/>
      <c r="C3" s="145" t="inlineStr">
        <is>
          <t xml:space="preserve">Select top 10 crops </t>
        </is>
      </c>
      <c r="D3" s="146" t="inlineStr">
        <is>
          <t>Dataset code</t>
        </is>
      </c>
      <c r="E3" s="147" t="inlineStr">
        <is>
          <t>Label (EN)</t>
        </is>
      </c>
    </row>
    <row r="4" ht="15.6" customHeight="1">
      <c r="B4" s="144" t="n"/>
      <c r="C4" s="9" t="inlineStr">
        <is>
          <t>x</t>
        </is>
      </c>
      <c r="D4" s="148" t="inlineStr">
        <is>
          <t>1.1</t>
        </is>
      </c>
      <c r="E4" s="149" t="inlineStr">
        <is>
          <t>Rice</t>
        </is>
      </c>
    </row>
    <row r="5" ht="15.6" customHeight="1">
      <c r="B5" s="144" t="n"/>
      <c r="C5" s="9" t="inlineStr">
        <is>
          <t>x</t>
        </is>
      </c>
      <c r="D5" s="148" t="inlineStr">
        <is>
          <t>1.2</t>
        </is>
      </c>
      <c r="E5" s="149" t="inlineStr">
        <is>
          <t>Wheat</t>
        </is>
      </c>
    </row>
    <row r="6" ht="15.6" customHeight="1">
      <c r="B6" s="144" t="n"/>
      <c r="C6" s="9" t="n"/>
      <c r="D6" s="148" t="inlineStr">
        <is>
          <t>1.3</t>
        </is>
      </c>
      <c r="E6" s="149" t="inlineStr">
        <is>
          <t>Millet</t>
        </is>
      </c>
    </row>
    <row r="7" ht="15.6" customHeight="1">
      <c r="B7" s="144" t="n"/>
      <c r="C7" s="9" t="n"/>
      <c r="D7" s="148" t="inlineStr">
        <is>
          <t>1.4</t>
        </is>
      </c>
      <c r="E7" s="149" t="inlineStr">
        <is>
          <t>Sorghum</t>
        </is>
      </c>
    </row>
    <row r="8" ht="15.6" customHeight="1">
      <c r="B8" s="144" t="n"/>
      <c r="C8" s="9" t="inlineStr">
        <is>
          <t>x</t>
        </is>
      </c>
      <c r="D8" s="148" t="inlineStr">
        <is>
          <t>1.5</t>
        </is>
      </c>
      <c r="E8" s="149" t="inlineStr">
        <is>
          <t>Maize</t>
        </is>
      </c>
    </row>
    <row r="9" ht="15.6" customHeight="1">
      <c r="B9" s="144" t="n"/>
      <c r="C9" s="9" t="inlineStr">
        <is>
          <t>x</t>
        </is>
      </c>
      <c r="D9" s="148" t="inlineStr">
        <is>
          <t>1.6</t>
        </is>
      </c>
      <c r="E9" s="149" t="inlineStr">
        <is>
          <t>Barley</t>
        </is>
      </c>
    </row>
    <row r="10" ht="15.6" customHeight="1">
      <c r="B10" s="144" t="n"/>
      <c r="C10" s="191" t="n"/>
      <c r="D10" s="148" t="inlineStr">
        <is>
          <t>1.99</t>
        </is>
      </c>
      <c r="E10" s="150" t="inlineStr">
        <is>
          <t>Other Cereal</t>
        </is>
      </c>
    </row>
    <row r="11" ht="15.6" customHeight="1">
      <c r="B11" s="144" t="n"/>
      <c r="C11" s="9" t="n"/>
      <c r="D11" s="148" t="inlineStr">
        <is>
          <t>2.1</t>
        </is>
      </c>
      <c r="E11" s="149" t="inlineStr">
        <is>
          <t>Cassava</t>
        </is>
      </c>
    </row>
    <row r="12" ht="15.6" customHeight="1">
      <c r="B12" s="144" t="n"/>
      <c r="C12" s="9" t="inlineStr">
        <is>
          <t>x</t>
        </is>
      </c>
      <c r="D12" s="148" t="inlineStr">
        <is>
          <t>2.2</t>
        </is>
      </c>
      <c r="E12" s="149" t="inlineStr">
        <is>
          <t>Potatoe</t>
        </is>
      </c>
    </row>
    <row r="13" ht="15.6" customHeight="1">
      <c r="B13" s="144" t="n"/>
      <c r="C13" s="9" t="n"/>
      <c r="D13" s="148" t="inlineStr">
        <is>
          <t>2.3</t>
        </is>
      </c>
      <c r="E13" s="149" t="inlineStr">
        <is>
          <t>Sweet Potatoes</t>
        </is>
      </c>
    </row>
    <row r="14" ht="15.6" customHeight="1">
      <c r="B14" s="144" t="n"/>
      <c r="C14" s="9" t="n"/>
      <c r="D14" s="148" t="inlineStr">
        <is>
          <t>2.4</t>
        </is>
      </c>
      <c r="E14" s="149" t="inlineStr">
        <is>
          <t>Yams</t>
        </is>
      </c>
    </row>
    <row r="15" ht="15.6" customHeight="1">
      <c r="B15" s="144" t="n"/>
      <c r="C15" s="9" t="n"/>
      <c r="D15" s="148" t="inlineStr">
        <is>
          <t>2.5</t>
        </is>
      </c>
      <c r="E15" s="149" t="inlineStr">
        <is>
          <t>Carrots</t>
        </is>
      </c>
    </row>
    <row r="16" ht="15.6" customHeight="1">
      <c r="B16" s="144" t="n"/>
      <c r="C16" s="9" t="n"/>
      <c r="D16" s="148" t="inlineStr">
        <is>
          <t>2.6</t>
        </is>
      </c>
      <c r="E16" s="149" t="inlineStr">
        <is>
          <t>Cocoyam</t>
        </is>
      </c>
    </row>
    <row r="17" ht="15.6" customHeight="1">
      <c r="B17" s="144" t="n"/>
      <c r="C17" s="191" t="n"/>
      <c r="D17" s="148" t="inlineStr">
        <is>
          <t>2.99</t>
        </is>
      </c>
      <c r="E17" s="150" t="inlineStr">
        <is>
          <t>Other tubers</t>
        </is>
      </c>
    </row>
    <row r="18" ht="15.6" customHeight="1">
      <c r="B18" s="144" t="n"/>
      <c r="C18" s="9" t="inlineStr">
        <is>
          <t>x</t>
        </is>
      </c>
      <c r="D18" s="148" t="inlineStr">
        <is>
          <t>3.1</t>
        </is>
      </c>
      <c r="E18" s="149" t="inlineStr">
        <is>
          <t>Beans</t>
        </is>
      </c>
    </row>
    <row r="19" ht="15.6" customHeight="1">
      <c r="B19" s="144" t="n"/>
      <c r="C19" s="9" t="n"/>
      <c r="D19" s="148" t="inlineStr">
        <is>
          <t>3.2</t>
        </is>
      </c>
      <c r="E19" s="149" t="inlineStr">
        <is>
          <t>Lentils</t>
        </is>
      </c>
    </row>
    <row r="20" ht="15.6" customHeight="1">
      <c r="B20" s="144" t="n"/>
      <c r="C20" s="9" t="n"/>
      <c r="D20" s="148" t="inlineStr">
        <is>
          <t>3.3</t>
        </is>
      </c>
      <c r="E20" s="149" t="inlineStr">
        <is>
          <t>Peas</t>
        </is>
      </c>
    </row>
    <row r="21" ht="15.6" customHeight="1">
      <c r="B21" s="144" t="n"/>
      <c r="C21" s="9" t="n"/>
      <c r="D21" s="148" t="inlineStr">
        <is>
          <t>3.4</t>
        </is>
      </c>
      <c r="E21" s="149" t="inlineStr">
        <is>
          <t>Soybeans</t>
        </is>
      </c>
    </row>
    <row r="22" ht="15.6" customHeight="1">
      <c r="B22" s="144" t="n"/>
      <c r="C22" s="9" t="n"/>
      <c r="D22" s="148" t="inlineStr">
        <is>
          <t>3.5</t>
        </is>
      </c>
      <c r="E22" s="149" t="inlineStr">
        <is>
          <t>Chickpeas</t>
        </is>
      </c>
    </row>
    <row r="23" ht="15.6" customHeight="1">
      <c r="B23" s="144" t="n"/>
      <c r="C23" s="9" t="n"/>
      <c r="D23" s="148" t="inlineStr">
        <is>
          <t>3.6</t>
        </is>
      </c>
      <c r="E23" s="149" t="inlineStr">
        <is>
          <t>Fava beans</t>
        </is>
      </c>
    </row>
    <row r="24" ht="15.6" customHeight="1">
      <c r="B24" s="144" t="n"/>
      <c r="C24" s="9" t="n"/>
      <c r="D24" s="148" t="inlineStr">
        <is>
          <t>3.7</t>
        </is>
      </c>
      <c r="E24" s="149" t="inlineStr">
        <is>
          <t>Broad beans</t>
        </is>
      </c>
    </row>
    <row r="25" ht="15.6" customHeight="1">
      <c r="B25" s="144" t="n"/>
      <c r="C25" s="191" t="n"/>
      <c r="D25" s="148" t="inlineStr">
        <is>
          <t>3.99</t>
        </is>
      </c>
      <c r="E25" s="150" t="inlineStr">
        <is>
          <t>Other pulses</t>
        </is>
      </c>
    </row>
    <row r="26" ht="15.6" customHeight="1">
      <c r="B26" s="144" t="n"/>
      <c r="C26" s="9" t="n"/>
      <c r="D26" s="148" t="inlineStr">
        <is>
          <t>4.1</t>
        </is>
      </c>
      <c r="E26" s="149" t="inlineStr">
        <is>
          <t>Cabbage</t>
        </is>
      </c>
    </row>
    <row r="27" ht="15.6" customHeight="1">
      <c r="B27" s="144" t="n"/>
      <c r="C27" s="9" t="n"/>
      <c r="D27" s="148" t="inlineStr">
        <is>
          <t>4.2</t>
        </is>
      </c>
      <c r="E27" s="149" t="inlineStr">
        <is>
          <t>Lettuce</t>
        </is>
      </c>
    </row>
    <row r="28" ht="15.6" customHeight="1">
      <c r="B28" s="144" t="n"/>
      <c r="C28" s="9" t="n"/>
      <c r="D28" s="148" t="inlineStr">
        <is>
          <t>4.3</t>
        </is>
      </c>
      <c r="E28" s="149" t="inlineStr">
        <is>
          <t>Spinach-Amaranth</t>
        </is>
      </c>
    </row>
    <row r="29" ht="15.6" customHeight="1">
      <c r="B29" s="144" t="n"/>
      <c r="C29" s="9" t="n"/>
      <c r="D29" s="148" t="inlineStr">
        <is>
          <t>4.4</t>
        </is>
      </c>
      <c r="E29" s="149" t="inlineStr">
        <is>
          <t>Cassava leaves</t>
        </is>
      </c>
    </row>
    <row r="30" ht="15.6" customHeight="1">
      <c r="B30" s="144" t="n"/>
      <c r="C30" s="9" t="n"/>
      <c r="D30" s="148" t="inlineStr">
        <is>
          <t>4.5</t>
        </is>
      </c>
      <c r="E30" s="149" t="inlineStr">
        <is>
          <t>Potatoe leaves</t>
        </is>
      </c>
    </row>
    <row r="31" ht="15.6" customHeight="1">
      <c r="B31" s="144" t="n"/>
      <c r="C31" s="9" t="n"/>
      <c r="D31" s="148" t="inlineStr">
        <is>
          <t>4.6</t>
        </is>
      </c>
      <c r="E31" s="149" t="inlineStr">
        <is>
          <t>Moringa</t>
        </is>
      </c>
    </row>
    <row r="32" ht="15.6" customHeight="1">
      <c r="B32" s="144" t="n"/>
      <c r="C32" s="9" t="n"/>
      <c r="D32" s="148" t="inlineStr">
        <is>
          <t>4.7</t>
        </is>
      </c>
      <c r="E32" s="149" t="inlineStr">
        <is>
          <t>Sorrel Hibiscus / Rosselle</t>
        </is>
      </c>
    </row>
    <row r="33" ht="28.8" customHeight="1">
      <c r="B33" s="144" t="n"/>
      <c r="C33" s="9" t="n"/>
      <c r="D33" s="148" t="inlineStr">
        <is>
          <t>4.9</t>
        </is>
      </c>
      <c r="E33" s="149" t="inlineStr">
        <is>
          <t>Green salad herbs (thyme, parsley, mint, rocca, other)</t>
        </is>
      </c>
    </row>
    <row r="34" ht="15.6" customHeight="1">
      <c r="B34" s="144" t="n"/>
      <c r="C34" s="9" t="n"/>
      <c r="D34" s="148" t="inlineStr">
        <is>
          <t>4.101</t>
        </is>
      </c>
      <c r="E34" s="149" t="inlineStr">
        <is>
          <t>Cauliflower</t>
        </is>
      </c>
    </row>
    <row r="35" ht="15.6" customHeight="1">
      <c r="B35" s="144" t="n"/>
      <c r="C35" s="191" t="n"/>
      <c r="D35" s="148" t="inlineStr">
        <is>
          <t>4.99</t>
        </is>
      </c>
      <c r="E35" s="150" t="inlineStr">
        <is>
          <t>Other leafy vegetables</t>
        </is>
      </c>
    </row>
    <row r="36" ht="15.6" customHeight="1">
      <c r="B36" s="144" t="n"/>
      <c r="C36" s="9" t="inlineStr">
        <is>
          <t>x</t>
        </is>
      </c>
      <c r="D36" s="148" t="inlineStr">
        <is>
          <t>5.1</t>
        </is>
      </c>
      <c r="E36" s="149" t="inlineStr">
        <is>
          <t>Tomatoes</t>
        </is>
      </c>
    </row>
    <row r="37" ht="15.6" customHeight="1">
      <c r="B37" s="144" t="n"/>
      <c r="C37" s="9" t="n"/>
      <c r="D37" s="148" t="inlineStr">
        <is>
          <t>5.2</t>
        </is>
      </c>
      <c r="E37" s="149" t="inlineStr">
        <is>
          <t>Cucumber</t>
        </is>
      </c>
    </row>
    <row r="38" ht="15.6" customHeight="1">
      <c r="B38" s="144" t="n"/>
      <c r="C38" s="9" t="n"/>
      <c r="D38" s="148" t="inlineStr">
        <is>
          <t>5.3</t>
        </is>
      </c>
      <c r="E38" s="149" t="inlineStr">
        <is>
          <t>Pumpkin</t>
        </is>
      </c>
    </row>
    <row r="39" ht="15.6" customHeight="1">
      <c r="B39" s="144" t="n"/>
      <c r="C39" s="9" t="n"/>
      <c r="D39" s="148" t="inlineStr">
        <is>
          <t>5.4</t>
        </is>
      </c>
      <c r="E39" s="149" t="inlineStr">
        <is>
          <t>Eggplant/aubergine</t>
        </is>
      </c>
    </row>
    <row r="40" ht="15.6" customHeight="1">
      <c r="B40" s="144" t="n"/>
      <c r="C40" s="9" t="n"/>
      <c r="D40" s="148" t="inlineStr">
        <is>
          <t>5.5</t>
        </is>
      </c>
      <c r="E40" s="149" t="inlineStr">
        <is>
          <t>Zucchini</t>
        </is>
      </c>
    </row>
    <row r="41" ht="15.6" customHeight="1">
      <c r="B41" s="144" t="n"/>
      <c r="C41" s="9" t="n"/>
      <c r="D41" s="148" t="inlineStr">
        <is>
          <t>5.6</t>
        </is>
      </c>
      <c r="E41" s="149" t="inlineStr">
        <is>
          <t>Okra</t>
        </is>
      </c>
    </row>
    <row r="42" ht="15.6" customHeight="1">
      <c r="B42" s="144" t="n"/>
      <c r="C42" s="9" t="n"/>
      <c r="D42" s="148" t="inlineStr">
        <is>
          <t>5.7</t>
        </is>
      </c>
      <c r="E42" s="149" t="inlineStr">
        <is>
          <t>Bell pepper</t>
        </is>
      </c>
    </row>
    <row r="43" ht="15.6" customHeight="1">
      <c r="B43" s="144" t="n"/>
      <c r="C43" s="9" t="n"/>
      <c r="D43" s="148" t="inlineStr">
        <is>
          <t>5.8</t>
        </is>
      </c>
      <c r="E43" s="149" t="inlineStr">
        <is>
          <t>Onions</t>
        </is>
      </c>
    </row>
    <row r="44" ht="15.6" customHeight="1">
      <c r="B44" s="144" t="n"/>
      <c r="C44" s="9" t="n"/>
      <c r="D44" s="148" t="inlineStr">
        <is>
          <t>5.9</t>
        </is>
      </c>
      <c r="E44" s="149" t="inlineStr">
        <is>
          <t>Haricot</t>
        </is>
      </c>
    </row>
    <row r="45" ht="15.6" customHeight="1">
      <c r="B45" s="144" t="n"/>
      <c r="C45" s="9" t="n"/>
      <c r="D45" s="148" t="inlineStr">
        <is>
          <t>5.101</t>
        </is>
      </c>
      <c r="E45" s="149" t="inlineStr">
        <is>
          <t>Green peas</t>
        </is>
      </c>
    </row>
    <row r="46" ht="15.6" customHeight="1">
      <c r="B46" s="144" t="n"/>
      <c r="C46" s="9" t="n"/>
      <c r="D46" s="148" t="inlineStr">
        <is>
          <t>5.11</t>
        </is>
      </c>
      <c r="E46" s="149" t="inlineStr">
        <is>
          <t>Fava beans green</t>
        </is>
      </c>
    </row>
    <row r="47" ht="15.6" customHeight="1">
      <c r="B47" s="144" t="n"/>
      <c r="C47" s="191" t="n"/>
      <c r="D47" s="148" t="inlineStr">
        <is>
          <t>5.99</t>
        </is>
      </c>
      <c r="E47" s="150" t="inlineStr">
        <is>
          <t>Other non leafy vegs</t>
        </is>
      </c>
    </row>
    <row r="48" ht="15.6" customHeight="1">
      <c r="B48" s="144" t="n"/>
      <c r="C48" s="9" t="n"/>
      <c r="D48" s="148" t="inlineStr">
        <is>
          <t>6.1</t>
        </is>
      </c>
      <c r="E48" s="149" t="inlineStr">
        <is>
          <t>Orange</t>
        </is>
      </c>
    </row>
    <row r="49" ht="15.6" customHeight="1">
      <c r="B49" s="144" t="n"/>
      <c r="C49" s="9" t="n"/>
      <c r="D49" s="148" t="inlineStr">
        <is>
          <t>6.2</t>
        </is>
      </c>
      <c r="E49" s="149" t="inlineStr">
        <is>
          <t>Lemon</t>
        </is>
      </c>
    </row>
    <row r="50" ht="15.6" customHeight="1">
      <c r="B50" s="144" t="n"/>
      <c r="C50" s="9" t="n"/>
      <c r="D50" s="148" t="inlineStr">
        <is>
          <t>6.3</t>
        </is>
      </c>
      <c r="E50" s="149" t="inlineStr">
        <is>
          <t>Grapefruit</t>
        </is>
      </c>
    </row>
    <row r="51" ht="15.6" customHeight="1">
      <c r="B51" s="144" t="n"/>
      <c r="C51" s="9" t="n"/>
      <c r="D51" s="148" t="inlineStr">
        <is>
          <t>6.4</t>
        </is>
      </c>
      <c r="E51" s="149" t="inlineStr">
        <is>
          <t>Mandarins/clementines</t>
        </is>
      </c>
    </row>
    <row r="52" ht="15.6" customHeight="1">
      <c r="B52" s="144" t="n"/>
      <c r="C52" s="191" t="n"/>
      <c r="D52" s="148" t="inlineStr">
        <is>
          <t>6.99</t>
        </is>
      </c>
      <c r="E52" s="150" t="inlineStr">
        <is>
          <t>Other citrus fruit</t>
        </is>
      </c>
    </row>
    <row r="53" ht="15.6" customHeight="1">
      <c r="B53" s="144" t="n"/>
      <c r="C53" s="9" t="n"/>
      <c r="D53" s="148" t="inlineStr">
        <is>
          <t>7.1</t>
        </is>
      </c>
      <c r="E53" s="149" t="inlineStr">
        <is>
          <t>Sweet Banana</t>
        </is>
      </c>
    </row>
    <row r="54" ht="15.6" customHeight="1">
      <c r="B54" s="144" t="n"/>
      <c r="C54" s="9" t="n"/>
      <c r="D54" s="148" t="inlineStr">
        <is>
          <t>7.2</t>
        </is>
      </c>
      <c r="E54" s="149" t="inlineStr">
        <is>
          <t>Plantains</t>
        </is>
      </c>
    </row>
    <row r="55" ht="15.6" customHeight="1">
      <c r="B55" s="144" t="n"/>
      <c r="C55" s="9" t="n"/>
      <c r="D55" s="148" t="inlineStr">
        <is>
          <t>7.3</t>
        </is>
      </c>
      <c r="E55" s="149" t="inlineStr">
        <is>
          <t>Papaya</t>
        </is>
      </c>
    </row>
    <row r="56" ht="15.6" customHeight="1">
      <c r="B56" s="144" t="n"/>
      <c r="C56" s="9" t="n"/>
      <c r="D56" s="148" t="inlineStr">
        <is>
          <t>7.4</t>
        </is>
      </c>
      <c r="E56" s="149" t="inlineStr">
        <is>
          <t>Mango</t>
        </is>
      </c>
    </row>
    <row r="57" ht="15.6" customHeight="1">
      <c r="B57" s="144" t="n"/>
      <c r="C57" s="9" t="n"/>
      <c r="D57" s="148" t="inlineStr">
        <is>
          <t>7.5</t>
        </is>
      </c>
      <c r="E57" s="149" t="inlineStr">
        <is>
          <t>Guava</t>
        </is>
      </c>
    </row>
    <row r="58" ht="15.6" customHeight="1">
      <c r="B58" s="144" t="n"/>
      <c r="C58" s="9" t="n"/>
      <c r="D58" s="148" t="inlineStr">
        <is>
          <t>7.6</t>
        </is>
      </c>
      <c r="E58" s="149" t="inlineStr">
        <is>
          <t>Pineapple</t>
        </is>
      </c>
    </row>
    <row r="59" ht="15.6" customHeight="1">
      <c r="B59" s="144" t="n"/>
      <c r="C59" s="9" t="n"/>
      <c r="D59" s="148" t="inlineStr">
        <is>
          <t>7.7</t>
        </is>
      </c>
      <c r="E59" s="149" t="inlineStr">
        <is>
          <t>Avocado</t>
        </is>
      </c>
    </row>
    <row r="60" ht="15.6" customHeight="1">
      <c r="B60" s="144" t="n"/>
      <c r="C60" s="9" t="inlineStr">
        <is>
          <t>x</t>
        </is>
      </c>
      <c r="D60" s="148" t="inlineStr">
        <is>
          <t>7.8</t>
        </is>
      </c>
      <c r="E60" s="149" t="inlineStr">
        <is>
          <t>Water Melon</t>
        </is>
      </c>
    </row>
    <row r="61" ht="15.6" customHeight="1">
      <c r="B61" s="144" t="n"/>
      <c r="C61" s="9" t="n"/>
      <c r="D61" s="148" t="inlineStr">
        <is>
          <t>7.9</t>
        </is>
      </c>
      <c r="E61" s="149" t="inlineStr">
        <is>
          <t>Dates</t>
        </is>
      </c>
    </row>
    <row r="62" ht="15.6" customHeight="1">
      <c r="B62" s="144" t="n"/>
      <c r="C62" s="9" t="n"/>
      <c r="D62" s="148" t="inlineStr">
        <is>
          <t>7.101</t>
        </is>
      </c>
      <c r="E62" s="149" t="inlineStr">
        <is>
          <t>Figs</t>
        </is>
      </c>
    </row>
    <row r="63" ht="15.6" customHeight="1">
      <c r="B63" s="144" t="n"/>
      <c r="C63" s="9" t="n"/>
      <c r="D63" s="148" t="inlineStr">
        <is>
          <t>7.11</t>
        </is>
      </c>
      <c r="E63" s="149" t="inlineStr">
        <is>
          <t>Grapes</t>
        </is>
      </c>
    </row>
    <row r="64" ht="15.6" customHeight="1">
      <c r="B64" s="144" t="n"/>
      <c r="C64" s="9" t="n"/>
      <c r="D64" s="148" t="inlineStr">
        <is>
          <t>7.12</t>
        </is>
      </c>
      <c r="E64" s="149" t="inlineStr">
        <is>
          <t>Olives</t>
        </is>
      </c>
    </row>
    <row r="65" ht="15.6" customHeight="1">
      <c r="B65" s="144" t="n"/>
      <c r="C65" s="9" t="n"/>
      <c r="D65" s="148" t="inlineStr">
        <is>
          <t>7.13</t>
        </is>
      </c>
      <c r="E65" s="149" t="inlineStr">
        <is>
          <t>Apple</t>
        </is>
      </c>
    </row>
    <row r="66" ht="15.6" customHeight="1">
      <c r="B66" s="144" t="n"/>
      <c r="C66" s="9" t="n"/>
      <c r="D66" s="148" t="inlineStr">
        <is>
          <t>7.14</t>
        </is>
      </c>
      <c r="E66" s="149" t="inlineStr">
        <is>
          <t>Apricot</t>
        </is>
      </c>
    </row>
    <row r="67" ht="15.6" customHeight="1">
      <c r="B67" s="144" t="n"/>
      <c r="C67" s="9" t="n"/>
      <c r="D67" s="148" t="inlineStr">
        <is>
          <t>7.15</t>
        </is>
      </c>
      <c r="E67" s="149" t="inlineStr">
        <is>
          <t>Cherries</t>
        </is>
      </c>
    </row>
    <row r="68" ht="15.6" customHeight="1">
      <c r="B68" s="144" t="n"/>
      <c r="C68" s="9" t="n"/>
      <c r="D68" s="148" t="inlineStr">
        <is>
          <t>7.16</t>
        </is>
      </c>
      <c r="E68" s="149" t="inlineStr">
        <is>
          <t>Peach/nectarine</t>
        </is>
      </c>
    </row>
    <row r="69" ht="15.6" customHeight="1">
      <c r="B69" s="144" t="n"/>
      <c r="C69" s="9" t="n"/>
      <c r="D69" s="148" t="inlineStr">
        <is>
          <t>7.17</t>
        </is>
      </c>
      <c r="E69" s="149" t="inlineStr">
        <is>
          <t>Strawberries</t>
        </is>
      </c>
    </row>
    <row r="70" ht="15.6" customHeight="1">
      <c r="B70" s="144" t="n"/>
      <c r="C70" s="9" t="inlineStr">
        <is>
          <t>x</t>
        </is>
      </c>
      <c r="D70" s="148" t="inlineStr">
        <is>
          <t>7.18</t>
        </is>
      </c>
      <c r="E70" s="149" t="inlineStr">
        <is>
          <t>Melon (Cantaloupe)</t>
        </is>
      </c>
    </row>
    <row r="71" ht="15.6" customHeight="1">
      <c r="B71" s="144" t="n"/>
      <c r="C71" s="191" t="n"/>
      <c r="D71" s="148" t="inlineStr">
        <is>
          <t>7.99</t>
        </is>
      </c>
      <c r="E71" s="150" t="inlineStr">
        <is>
          <t>Other fruit</t>
        </is>
      </c>
    </row>
    <row r="72" ht="15.6" customHeight="1">
      <c r="B72" s="144" t="n"/>
      <c r="C72" s="9" t="n"/>
      <c r="D72" s="148" t="inlineStr">
        <is>
          <t>8.1</t>
        </is>
      </c>
      <c r="E72" s="149" t="inlineStr">
        <is>
          <t>Coconuts</t>
        </is>
      </c>
    </row>
    <row r="73" ht="15.6" customHeight="1">
      <c r="B73" s="144" t="n"/>
      <c r="C73" s="9" t="n"/>
      <c r="D73" s="148" t="inlineStr">
        <is>
          <t>8.2</t>
        </is>
      </c>
      <c r="E73" s="149" t="inlineStr">
        <is>
          <t>Groundnut/peanut</t>
        </is>
      </c>
    </row>
    <row r="74" ht="15.6" customHeight="1">
      <c r="B74" s="144" t="n"/>
      <c r="C74" s="9" t="n"/>
      <c r="D74" s="148" t="inlineStr">
        <is>
          <t>8.3</t>
        </is>
      </c>
      <c r="E74" s="149" t="inlineStr">
        <is>
          <t>Cashew Nut</t>
        </is>
      </c>
    </row>
    <row r="75" ht="15.6" customHeight="1">
      <c r="B75" s="144" t="n"/>
      <c r="C75" s="9" t="n"/>
      <c r="D75" s="148" t="inlineStr">
        <is>
          <t>8.4</t>
        </is>
      </c>
      <c r="E75" s="149" t="inlineStr">
        <is>
          <t>Kola Nut</t>
        </is>
      </c>
    </row>
    <row r="76" ht="15.6" customHeight="1">
      <c r="B76" s="144" t="n"/>
      <c r="C76" s="9" t="n"/>
      <c r="D76" s="148" t="inlineStr">
        <is>
          <t>8.5</t>
        </is>
      </c>
      <c r="E76" s="149" t="inlineStr">
        <is>
          <t>Sesame</t>
        </is>
      </c>
    </row>
    <row r="77" ht="15.6" customHeight="1">
      <c r="B77" s="144" t="n"/>
      <c r="C77" s="9" t="n"/>
      <c r="D77" s="148" t="inlineStr">
        <is>
          <t>8.6</t>
        </is>
      </c>
      <c r="E77" s="149" t="inlineStr">
        <is>
          <t>Bambara nut</t>
        </is>
      </c>
    </row>
    <row r="78" ht="15.6" customHeight="1">
      <c r="B78" s="144" t="n"/>
      <c r="C78" s="9" t="n"/>
      <c r="D78" s="148" t="inlineStr">
        <is>
          <t>8.7</t>
        </is>
      </c>
      <c r="E78" s="149" t="inlineStr">
        <is>
          <t>Almond</t>
        </is>
      </c>
    </row>
    <row r="79" ht="15.6" customHeight="1">
      <c r="B79" s="144" t="n"/>
      <c r="C79" s="9" t="n"/>
      <c r="D79" s="148" t="inlineStr">
        <is>
          <t>8.8</t>
        </is>
      </c>
      <c r="E79" s="149" t="inlineStr">
        <is>
          <t>Walnut</t>
        </is>
      </c>
    </row>
    <row r="80" ht="15.6" customHeight="1">
      <c r="B80" s="144" t="n"/>
      <c r="C80" s="191" t="n"/>
      <c r="D80" s="148" t="inlineStr">
        <is>
          <t>8.99</t>
        </is>
      </c>
      <c r="E80" s="150" t="inlineStr">
        <is>
          <t>Other nuts</t>
        </is>
      </c>
    </row>
    <row r="81" ht="15.6" customHeight="1">
      <c r="B81" s="144" t="n"/>
      <c r="C81" s="9" t="n"/>
      <c r="D81" s="148" t="inlineStr">
        <is>
          <t>9.1</t>
        </is>
      </c>
      <c r="E81" s="149" t="inlineStr">
        <is>
          <t>Cocoa</t>
        </is>
      </c>
    </row>
    <row r="82" ht="15.6" customHeight="1">
      <c r="B82" s="144" t="n"/>
      <c r="C82" s="9" t="n"/>
      <c r="D82" s="148" t="inlineStr">
        <is>
          <t>9.2</t>
        </is>
      </c>
      <c r="E82" s="149" t="inlineStr">
        <is>
          <t>Coffee</t>
        </is>
      </c>
    </row>
    <row r="83" ht="15.6" customHeight="1">
      <c r="B83" s="144" t="n"/>
      <c r="C83" s="9" t="n"/>
      <c r="D83" s="148" t="inlineStr">
        <is>
          <t>9.3</t>
        </is>
      </c>
      <c r="E83" s="149" t="inlineStr">
        <is>
          <t>Tea</t>
        </is>
      </c>
    </row>
    <row r="84" ht="15.6" customHeight="1">
      <c r="B84" s="144" t="n"/>
      <c r="C84" s="9" t="inlineStr">
        <is>
          <t>x</t>
        </is>
      </c>
      <c r="D84" s="148" t="inlineStr">
        <is>
          <t>9.4</t>
        </is>
      </c>
      <c r="E84" s="149" t="inlineStr">
        <is>
          <t>Sugarcane</t>
        </is>
      </c>
    </row>
    <row r="85" ht="15.6" customHeight="1">
      <c r="B85" s="144" t="n"/>
      <c r="C85" s="9" t="n"/>
      <c r="D85" s="148" t="inlineStr">
        <is>
          <t>9.5</t>
        </is>
      </c>
      <c r="E85" s="149" t="inlineStr">
        <is>
          <t>Sunflower</t>
        </is>
      </c>
    </row>
    <row r="86" ht="15.6" customHeight="1">
      <c r="B86" s="144" t="n"/>
      <c r="C86" s="191" t="n"/>
      <c r="D86" s="148" t="inlineStr">
        <is>
          <t>9.99</t>
        </is>
      </c>
      <c r="E86" s="150" t="inlineStr">
        <is>
          <t>Other food cash crop</t>
        </is>
      </c>
    </row>
    <row r="87" ht="15.6" customHeight="1">
      <c r="B87" s="144" t="n"/>
      <c r="C87" s="9" t="n"/>
      <c r="D87" s="148" t="inlineStr">
        <is>
          <t>10.1</t>
        </is>
      </c>
      <c r="E87" s="149" t="inlineStr">
        <is>
          <t>Cotton</t>
        </is>
      </c>
    </row>
    <row r="88" ht="15.6" customHeight="1">
      <c r="B88" s="144" t="n"/>
      <c r="C88" s="9" t="n"/>
      <c r="D88" s="148" t="inlineStr">
        <is>
          <t>10.2</t>
        </is>
      </c>
      <c r="E88" s="149" t="inlineStr">
        <is>
          <t>Rubber</t>
        </is>
      </c>
    </row>
    <row r="89" ht="15.6" customHeight="1">
      <c r="B89" s="144" t="n"/>
      <c r="C89" s="9" t="n"/>
      <c r="D89" s="148" t="inlineStr">
        <is>
          <t>10.3</t>
        </is>
      </c>
      <c r="E89" s="149" t="inlineStr">
        <is>
          <t>Jute</t>
        </is>
      </c>
    </row>
    <row r="90" ht="15.6" customHeight="1">
      <c r="B90" s="144" t="n"/>
      <c r="C90" s="9" t="n"/>
      <c r="D90" s="148" t="inlineStr">
        <is>
          <t>10.4</t>
        </is>
      </c>
      <c r="E90" s="149" t="inlineStr">
        <is>
          <t>Fodder</t>
        </is>
      </c>
    </row>
    <row r="91" ht="15.6" customHeight="1">
      <c r="B91" s="144" t="n"/>
      <c r="C91" s="9" t="n"/>
      <c r="D91" s="148" t="inlineStr">
        <is>
          <t>10.5</t>
        </is>
      </c>
      <c r="E91" s="149" t="inlineStr">
        <is>
          <t>Tobacco</t>
        </is>
      </c>
    </row>
    <row r="92" ht="15.6" customHeight="1">
      <c r="B92" s="144" t="n"/>
      <c r="C92" s="9" t="n"/>
      <c r="D92" s="148" t="inlineStr">
        <is>
          <t>10.6</t>
        </is>
      </c>
      <c r="E92" s="149" t="inlineStr">
        <is>
          <t>Qat</t>
        </is>
      </c>
    </row>
    <row r="93" ht="15.6" customHeight="1">
      <c r="B93" s="144" t="n"/>
      <c r="C93" s="191" t="n"/>
      <c r="D93" s="148" t="inlineStr">
        <is>
          <t>10.99</t>
        </is>
      </c>
      <c r="E93" s="150" t="inlineStr">
        <is>
          <t>Other non-food cash crop</t>
        </is>
      </c>
    </row>
    <row r="94">
      <c r="C94" s="151" t="n"/>
      <c r="D94" s="152" t="n"/>
      <c r="E94" s="153"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15" zoomScale="80" zoomScaleNormal="80" workbookViewId="0">
      <selection activeCell="D20" sqref="D20"/>
    </sheetView>
  </sheetViews>
  <sheetFormatPr baseColWidth="8" defaultColWidth="10.77734375" defaultRowHeight="15.6"/>
  <cols>
    <col width="10.77734375" customWidth="1" style="16" min="1" max="1"/>
    <col width="8.77734375" customWidth="1" style="16" min="2" max="2"/>
    <col width="27.6640625" customWidth="1" style="16" min="3" max="3"/>
    <col width="20.77734375" customWidth="1" style="16" min="4" max="4"/>
    <col width="46.44140625" customWidth="1" style="42" min="5" max="5"/>
    <col width="20.77734375" customWidth="1" style="16" min="6" max="6"/>
    <col width="10.77734375" customWidth="1" style="16" min="7" max="16384"/>
  </cols>
  <sheetData>
    <row r="1" ht="16.2" customHeight="1" thickBot="1">
      <c r="C1" s="17" t="n"/>
      <c r="D1" s="17" t="n"/>
      <c r="E1" s="38" t="n"/>
      <c r="F1" s="17" t="n"/>
    </row>
    <row r="2" ht="16.2" customFormat="1" customHeight="1" s="42" thickBot="1">
      <c r="A2" s="62" t="n"/>
      <c r="B2" s="63" t="n"/>
      <c r="C2" s="64" t="inlineStr">
        <is>
          <t xml:space="preserve">Original </t>
        </is>
      </c>
      <c r="D2" s="65" t="inlineStr">
        <is>
          <t>Replacement</t>
        </is>
      </c>
      <c r="E2" s="39" t="inlineStr">
        <is>
          <t>Comment</t>
        </is>
      </c>
      <c r="F2" s="66" t="inlineStr">
        <is>
          <t>Example</t>
        </is>
      </c>
      <c r="G2" s="67" t="n"/>
    </row>
    <row r="3" ht="62.55" customHeight="1">
      <c r="A3" s="18" t="n"/>
      <c r="B3" s="289" t="inlineStr">
        <is>
          <t>FOR CORE QUESTIONS    .
(Mandatory to fill out)    .</t>
        </is>
      </c>
      <c r="C3" s="48" t="inlineStr">
        <is>
          <t>phone number</t>
        </is>
      </c>
      <c r="D3" s="225" t="inlineStr">
        <is>
          <t>0700704549</t>
        </is>
      </c>
      <c r="E3" s="185" t="inlineStr">
        <is>
          <t>Type a phone number from your country in typical format, e.g. 77******* [please use exactly the number of characters that are found in a phone number].</t>
        </is>
      </c>
      <c r="F3" s="68" t="inlineStr">
        <is>
          <t>070******</t>
        </is>
      </c>
      <c r="G3" s="19" t="n"/>
    </row>
    <row r="4" ht="31.8" customHeight="1">
      <c r="A4" s="18" t="n"/>
      <c r="B4" s="290" t="n"/>
      <c r="C4" s="30" t="inlineStr">
        <is>
          <t>age</t>
        </is>
      </c>
      <c r="D4" s="182" t="n">
        <v>18</v>
      </c>
      <c r="E4" s="186" t="inlineStr">
        <is>
          <t>Minimum age of respondent (recommend 18 years old)</t>
        </is>
      </c>
      <c r="F4" s="69" t="n">
        <v>18</v>
      </c>
      <c r="G4" s="19" t="n"/>
    </row>
    <row r="5" ht="43.5" customHeight="1">
      <c r="A5" s="18" t="n"/>
      <c r="B5" s="290" t="n"/>
      <c r="C5" s="31" t="inlineStr">
        <is>
          <t>ADMIN1</t>
        </is>
      </c>
      <c r="D5" s="29" t="inlineStr">
        <is>
          <t>Province</t>
        </is>
      </c>
      <c r="E5" s="186" t="inlineStr">
        <is>
          <t>The first subdivision of the country, after national level; region; province; governorate; etc. Only one word should be inputted - Do not include spaces.</t>
        </is>
      </c>
      <c r="F5" s="20" t="inlineStr">
        <is>
          <t>region</t>
        </is>
      </c>
      <c r="G5" s="19" t="n"/>
    </row>
    <row r="6" ht="43.2" customHeight="1">
      <c r="A6" s="18" t="n"/>
      <c r="B6" s="290" t="n"/>
      <c r="C6" s="32" t="inlineStr">
        <is>
          <t>ADMIN2</t>
        </is>
      </c>
      <c r="D6" s="29" t="inlineStr">
        <is>
          <t>District</t>
        </is>
      </c>
      <c r="E6" s="187" t="inlineStr">
        <is>
          <t>The second subdivision of the country; district; municipality; LGA; etc. Only one word should be inputted - Do not include spaces.</t>
        </is>
      </c>
      <c r="F6" s="21" t="inlineStr">
        <is>
          <t>district</t>
        </is>
      </c>
      <c r="G6" s="19" t="n"/>
    </row>
    <row r="7" ht="72" customFormat="1" customHeight="1" s="209">
      <c r="A7" s="204" t="n"/>
      <c r="B7" s="290" t="n"/>
      <c r="C7" s="205" t="inlineStr">
        <is>
          <t>reference year</t>
        </is>
      </c>
      <c r="D7" s="226" t="inlineStr">
        <is>
          <t>last year</t>
        </is>
      </c>
      <c r="E7" s="20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7" t="inlineStr">
        <is>
          <t>a normal year</t>
        </is>
      </c>
      <c r="G7" s="208" t="n"/>
    </row>
    <row r="8" ht="72" customHeight="1">
      <c r="A8" s="18" t="n"/>
      <c r="B8" s="290" t="n"/>
      <c r="C8" s="32" t="inlineStr">
        <is>
          <t>season</t>
        </is>
      </c>
      <c r="D8" s="234" t="inlineStr">
        <is>
          <t>Spring/Ongoing</t>
        </is>
      </c>
      <c r="E8" s="188"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27" t="n"/>
    </row>
    <row r="9" ht="100.8" customHeight="1">
      <c r="A9" s="18" t="n"/>
      <c r="B9" s="290" t="n"/>
      <c r="C9" s="32" t="inlineStr">
        <is>
          <t>season phase</t>
        </is>
      </c>
      <c r="D9" s="228" t="inlineStr">
        <is>
          <t>Recently finished</t>
        </is>
      </c>
      <c r="E9" s="188"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05" customFormat="1" customHeight="1" s="209">
      <c r="A10" s="204" t="n"/>
      <c r="B10" s="290" t="n"/>
      <c r="C10" s="217" t="inlineStr">
        <is>
          <t>local measurement unit</t>
        </is>
      </c>
      <c r="D10" s="226" t="n"/>
      <c r="E10" s="24" t="inlineStr">
        <is>
          <t xml:space="preserve">Specify the local measurement unit for land size, other than acres, hectares, square meters and square feet. If no other unit of measurement is needed, keep this cell blank. </t>
        </is>
      </c>
      <c r="F10" s="215" t="inlineStr">
        <is>
          <t>Jeribs</t>
        </is>
      </c>
      <c r="G10" s="208" t="n"/>
    </row>
    <row r="11" ht="50.25" customFormat="1" customHeight="1" s="209" thickBot="1">
      <c r="A11" s="204" t="n"/>
      <c r="B11" s="291" t="n"/>
      <c r="C11" s="218" t="inlineStr">
        <is>
          <t>local measurement unit conversion</t>
        </is>
      </c>
      <c r="D11" s="229" t="n">
        <v>5</v>
      </c>
      <c r="E11" s="23" t="inlineStr">
        <is>
          <t xml:space="preserve">Include the conversion of the local measurement unit to hectares. In other words, how many local measurement units are in 1 ha. </t>
        </is>
      </c>
      <c r="F11" s="216" t="n">
        <v>0.2</v>
      </c>
      <c r="G11" s="208" t="n"/>
    </row>
    <row r="12" ht="28.8" customHeight="1">
      <c r="A12" s="18" t="n"/>
      <c r="B12" s="270" t="inlineStr">
        <is>
          <t>FOR OPTIONAL QUESTIONS    .
(Fill out if applicable)    .</t>
        </is>
      </c>
      <c r="C12" s="33" t="inlineStr">
        <is>
          <t>currency</t>
        </is>
      </c>
      <c r="D12" s="235" t="inlineStr">
        <is>
          <t>Afghani</t>
        </is>
      </c>
      <c r="E12" s="40" t="inlineStr">
        <is>
          <t xml:space="preserve">The name of the main currency used nationally; USD; Naira; Rial; Pesos; etc. </t>
        </is>
      </c>
      <c r="F12" s="20" t="inlineStr">
        <is>
          <t>Naira</t>
        </is>
      </c>
      <c r="G12" s="19" t="n"/>
    </row>
    <row r="13" ht="100.8" customHeight="1">
      <c r="A13" s="18" t="n"/>
      <c r="B13" s="290" t="n"/>
      <c r="C13" s="136" t="inlineStr">
        <is>
          <t>MIN AMOUNT</t>
        </is>
      </c>
      <c r="D13" s="230" t="n">
        <v>500</v>
      </c>
      <c r="E13" s="13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5" customHeight="1">
      <c r="A14" s="18" t="n"/>
      <c r="B14" s="290" t="n"/>
      <c r="C14" s="136" t="inlineStr">
        <is>
          <t>THRESHOLD</t>
        </is>
      </c>
      <c r="D14" s="230" t="n">
        <v>200000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28.8" customHeight="1">
      <c r="A15" s="18" t="n"/>
      <c r="B15" s="290" t="n"/>
      <c r="C15" s="61" t="inlineStr">
        <is>
          <t>local vegetables</t>
        </is>
      </c>
      <c r="D15" s="234" t="inlineStr">
        <is>
          <t>Okra, eggplant, lettuce,carrots,beans, spinach, tomatoes, onions</t>
        </is>
      </c>
      <c r="E15" s="24" t="inlineStr">
        <is>
          <t>Input some common local vegetables [to be used as examples in the food consumption score indicator].</t>
        </is>
      </c>
      <c r="F15" s="22" t="inlineStr">
        <is>
          <t>eggplants, zucchini, cauliflower</t>
        </is>
      </c>
      <c r="G15" s="19" t="n"/>
    </row>
    <row r="16" ht="29.4" customHeight="1" thickBot="1">
      <c r="A16" s="18" t="n"/>
      <c r="B16" s="291" t="n"/>
      <c r="C16" s="135" t="inlineStr">
        <is>
          <t>local fruits</t>
        </is>
      </c>
      <c r="D16" s="236" t="inlineStr">
        <is>
          <t xml:space="preserve">Apple, apricot, cherry, peach, water melon, </t>
        </is>
      </c>
      <c r="E16" s="25" t="inlineStr">
        <is>
          <t>Input some common local fruits [to be used as examples in the food consumption score indicator].</t>
        </is>
      </c>
      <c r="F16" s="139" t="inlineStr">
        <is>
          <t>apples, bananas, oranges</t>
        </is>
      </c>
      <c r="G16" s="19" t="n"/>
    </row>
    <row r="17" ht="5.55" customFormat="1" customHeight="1" s="60" thickBot="1">
      <c r="A17" s="54" t="n"/>
      <c r="B17" s="55" t="n"/>
      <c r="C17" s="56" t="n"/>
      <c r="D17" s="138" t="n"/>
      <c r="E17" s="57" t="n"/>
      <c r="F17" s="58" t="n"/>
      <c r="G17" s="59" t="n"/>
    </row>
    <row r="18" ht="158.4" customHeight="1">
      <c r="A18" s="18" t="n"/>
      <c r="B18" s="292" t="inlineStr">
        <is>
          <t>FILL OUT FOR QUESTIONNAIRE DURATION ESTIMATION    .</t>
        </is>
      </c>
      <c r="C18" s="49" t="inlineStr">
        <is>
          <t>Expected percentage of respondents cultivating crops</t>
        </is>
      </c>
      <c r="D18" s="293"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58.4" customHeight="1">
      <c r="A19" s="18" t="n"/>
      <c r="B19" s="290" t="n"/>
      <c r="C19" s="34" t="inlineStr">
        <is>
          <t>Expected percentage of respondents raising livestock</t>
        </is>
      </c>
      <c r="D19" s="294"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91" t="n"/>
      <c r="C20" s="35" t="inlineStr">
        <is>
          <t>Expected percentage of respondents involved in fishery</t>
        </is>
      </c>
      <c r="D20" s="295"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bZ/ZHmU6B/Lr6Xkw54hpNg==" formatRows="1" sort="1" spinCount="100000" hashValue="cBlCxihu3Y9yQvFrno2EsI/GzXWLghYQE+UMJL0/Uu8OfRxz8VD0pM5/TWAf98lohBhaSfX/FfCZq57uBfStzA=="/>
  <mergeCells count="3">
    <mergeCell ref="B12:B16"/>
    <mergeCell ref="B18:B20"/>
    <mergeCell ref="B3:B11"/>
  </mergeCells>
  <dataValidations count="3">
    <dataValidation sqref="D9" showErrorMessage="1" showInputMessage="1" allowBlank="0" type="list">
      <formula1>"Not yet in season,Land preparation,Planting,Early growing,Growing,Maturing,Harvesting,Recently finished"</formula1>
    </dataValidation>
    <dataValidation sqref="D7" showErrorMessage="1" showInputMessage="1" allowBlank="0" type="list">
      <formula1>"last year, a normal year"</formula1>
    </dataValidation>
    <dataValidation sqref="D10" showErrorMessage="1" showInputMessage="1" allowBlank="0" type="list">
      <formula1>"Not yet in season,Land preparation,Planting,Early growing,Growing,Maturing,Harvesting,Recently finished "</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2023-08-08T17:54:53Z</dcterms:modified>
  <cp:lastModifiedBy>Mansoor</cp:lastModifiedBy>
</cp:coreProperties>
</file>